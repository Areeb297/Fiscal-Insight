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eb\Downloads\"/>
    </mc:Choice>
  </mc:AlternateContent>
  <xr:revisionPtr revIDLastSave="0" documentId="13_ncr:1_{989D98FE-8BAD-4705-88B7-F3D394458F79}" xr6:coauthVersionLast="47" xr6:coauthVersionMax="47" xr10:uidLastSave="{00000000-0000-0000-0000-000000000000}"/>
  <bookViews>
    <workbookView xWindow="-120" yWindow="-120" windowWidth="29040" windowHeight="16440" xr2:uid="{DF2ED03F-8408-4C1B-BF05-22C98EF29CB2}"/>
  </bookViews>
  <sheets>
    <sheet name="Projection Model - Clean" sheetId="11" r:id="rId1"/>
    <sheet name="Quotation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1" l="1"/>
  <c r="H49" i="11"/>
  <c r="H48" i="11"/>
  <c r="H47" i="11"/>
  <c r="H46" i="11"/>
  <c r="I13" i="11"/>
  <c r="I12" i="11"/>
  <c r="I11" i="11"/>
  <c r="I10" i="11"/>
  <c r="I9" i="11"/>
  <c r="I8" i="11"/>
  <c r="I7" i="11"/>
  <c r="G52" i="11"/>
  <c r="F50" i="11"/>
  <c r="F49" i="11"/>
  <c r="F48" i="11"/>
  <c r="F47" i="11"/>
  <c r="F46" i="11"/>
  <c r="G36" i="11"/>
  <c r="F29" i="11"/>
  <c r="F28" i="11"/>
  <c r="F27" i="11"/>
  <c r="F26" i="11"/>
  <c r="F25" i="11"/>
  <c r="F24" i="11"/>
  <c r="G13" i="11"/>
  <c r="G12" i="11"/>
  <c r="G11" i="11"/>
  <c r="G10" i="11"/>
  <c r="G9" i="11"/>
  <c r="G8" i="11"/>
  <c r="G7" i="11"/>
  <c r="J10" i="7"/>
  <c r="I10" i="7"/>
  <c r="H51" i="11" l="1"/>
  <c r="H53" i="11" s="1"/>
  <c r="F11" i="7" s="1"/>
  <c r="H11" i="7" s="1"/>
  <c r="I11" i="7" s="1"/>
  <c r="J11" i="7" s="1"/>
  <c r="G27" i="11"/>
  <c r="H27" i="11"/>
  <c r="H29" i="11"/>
  <c r="G29" i="11"/>
  <c r="H28" i="11"/>
  <c r="G28" i="11"/>
  <c r="H26" i="11"/>
  <c r="G26" i="11"/>
  <c r="H25" i="11"/>
  <c r="G25" i="11"/>
  <c r="H24" i="11"/>
  <c r="H30" i="11" s="1"/>
  <c r="G34" i="11" s="1"/>
  <c r="H34" i="11" s="1"/>
  <c r="G24" i="11"/>
  <c r="G14" i="11"/>
  <c r="I14" i="11"/>
  <c r="H18" i="11" s="1"/>
  <c r="H19" i="11" s="1"/>
  <c r="H20" i="11" s="1"/>
  <c r="G33" i="11" s="1"/>
  <c r="G30" i="11" l="1"/>
  <c r="H33" i="11"/>
  <c r="G35" i="11"/>
  <c r="H35" i="11" l="1"/>
  <c r="G37" i="11"/>
  <c r="F9" i="7" s="1"/>
  <c r="H37" i="11" l="1"/>
  <c r="G38" i="11"/>
  <c r="H38" i="11" s="1"/>
  <c r="H39" i="11" s="1"/>
  <c r="G41" i="11"/>
  <c r="H42" i="11" s="1"/>
  <c r="H9" i="7" l="1"/>
  <c r="J15" i="7" l="1"/>
  <c r="J16" i="7" s="1"/>
  <c r="J17" i="7" s="1"/>
  <c r="I9" i="7"/>
  <c r="J9" i="7" s="1"/>
</calcChain>
</file>

<file path=xl/sharedStrings.xml><?xml version="1.0" encoding="utf-8"?>
<sst xmlns="http://schemas.openxmlformats.org/spreadsheetml/2006/main" count="138" uniqueCount="106">
  <si>
    <t>Resources</t>
  </si>
  <si>
    <t>CTC</t>
  </si>
  <si>
    <t>Duration</t>
  </si>
  <si>
    <t>Cost</t>
  </si>
  <si>
    <t>Hosting + Integration + ZATCA</t>
  </si>
  <si>
    <t>Selling Price (without VAT)</t>
  </si>
  <si>
    <t>Margin (SAR) Yearly</t>
  </si>
  <si>
    <t>Yearly</t>
  </si>
  <si>
    <t>#</t>
  </si>
  <si>
    <t>Quantity</t>
  </si>
  <si>
    <t>Unit</t>
  </si>
  <si>
    <t>Package</t>
  </si>
  <si>
    <t>Odoo Licenses</t>
  </si>
  <si>
    <t>-</t>
  </si>
  <si>
    <t>License Annual</t>
  </si>
  <si>
    <t>USD</t>
  </si>
  <si>
    <t>Total Price (without VAT)</t>
  </si>
  <si>
    <t>Total Price (with VAT)</t>
  </si>
  <si>
    <t>Months</t>
  </si>
  <si>
    <t>Database Admin</t>
  </si>
  <si>
    <t>Managed Services</t>
  </si>
  <si>
    <t>Margin</t>
  </si>
  <si>
    <t>Selling Price</t>
  </si>
  <si>
    <t>Title / Role</t>
  </si>
  <si>
    <t>Country</t>
  </si>
  <si>
    <t>Salary (SAR)</t>
  </si>
  <si>
    <t>Total Yearly Cost</t>
  </si>
  <si>
    <t>Solution Architect</t>
  </si>
  <si>
    <t>Saudi</t>
  </si>
  <si>
    <t>Project Manager</t>
  </si>
  <si>
    <t>Engineer 1</t>
  </si>
  <si>
    <t>Pakistan</t>
  </si>
  <si>
    <t>Engineer 2</t>
  </si>
  <si>
    <t>Engineer 3</t>
  </si>
  <si>
    <t>Engineer 4</t>
  </si>
  <si>
    <t>Engineer 5</t>
  </si>
  <si>
    <t>$ to SAR Rate</t>
  </si>
  <si>
    <t># of Clients</t>
  </si>
  <si>
    <t>Value</t>
  </si>
  <si>
    <t>Cost per Client (Yearly)</t>
  </si>
  <si>
    <t>Cost per Client (Monthly)</t>
  </si>
  <si>
    <t>Overheads &amp; Subscriptions</t>
  </si>
  <si>
    <t>Subscription / Overhead</t>
  </si>
  <si>
    <t>Currency</t>
  </si>
  <si>
    <t>Yearly (SAR)</t>
  </si>
  <si>
    <t>Monthly (SAR)</t>
  </si>
  <si>
    <t>Claude</t>
  </si>
  <si>
    <t>GPT</t>
  </si>
  <si>
    <t>ElevenLabs</t>
  </si>
  <si>
    <t>SAR</t>
  </si>
  <si>
    <t>Per-Client Economics</t>
  </si>
  <si>
    <t>Description</t>
  </si>
  <si>
    <t>Monthly</t>
  </si>
  <si>
    <t>Cost per Client per Month</t>
  </si>
  <si>
    <t>Overhead (Monthly)</t>
  </si>
  <si>
    <t>Total Monthly Cost (per Client)</t>
  </si>
  <si>
    <t>Margin %</t>
  </si>
  <si>
    <t>Margin (SAR) Monthly</t>
  </si>
  <si>
    <t>Selling Price (with VAT) Monthly</t>
  </si>
  <si>
    <t>Selling Price (with VAT) Yearly</t>
  </si>
  <si>
    <t>Resource Title</t>
  </si>
  <si>
    <t>ASP.NET Dev L2 Resource</t>
  </si>
  <si>
    <t>Total Cost</t>
  </si>
  <si>
    <t>QUOTATION</t>
  </si>
  <si>
    <t>Company Name:</t>
  </si>
  <si>
    <t>Your Company Name</t>
  </si>
  <si>
    <t>Date:</t>
  </si>
  <si>
    <t>Client Name:</t>
  </si>
  <si>
    <t>Client Name</t>
  </si>
  <si>
    <t>Quotation #:</t>
  </si>
  <si>
    <t>Q-001</t>
  </si>
  <si>
    <t>Currency:</t>
  </si>
  <si>
    <t>SAR (Saudi Riyal)</t>
  </si>
  <si>
    <t>S/N</t>
  </si>
  <si>
    <t>Line Item</t>
  </si>
  <si>
    <t>Price (Monthly)</t>
  </si>
  <si>
    <t>Total Months</t>
  </si>
  <si>
    <t>Total Price (w/o VAT)</t>
  </si>
  <si>
    <t>VAT (15%)</t>
  </si>
  <si>
    <t>Total Price (w VAT)</t>
  </si>
  <si>
    <t>Licenses and Services</t>
  </si>
  <si>
    <t>PROJECTION MODEL</t>
  </si>
  <si>
    <t>2025 – 2026</t>
  </si>
  <si>
    <t>SECTION 1 — DEPARTMENT COST</t>
  </si>
  <si>
    <t>Employee Name</t>
  </si>
  <si>
    <t>GRAND TOTAL</t>
  </si>
  <si>
    <t>SECTION 2 — CLIENT PROJECTION (5 CLIENTS)</t>
  </si>
  <si>
    <t>Total Dept Cost (Yearly)</t>
  </si>
  <si>
    <t>Price (Orig.)</t>
  </si>
  <si>
    <t>SAR Equiv.</t>
  </si>
  <si>
    <t>TOTAL OVERHEADS</t>
  </si>
  <si>
    <t>SECTION 3 — SALES SUPPORT (MANAGED SERVICES)</t>
  </si>
  <si>
    <t>TOTAL COST</t>
  </si>
  <si>
    <t>🔵 = Editable Input</t>
  </si>
  <si>
    <t>⚫ = Formula</t>
  </si>
  <si>
    <t>🟢 = Cross-Sheet Link</t>
  </si>
  <si>
    <t>🟡 = Key Output</t>
  </si>
  <si>
    <t>Areeb</t>
  </si>
  <si>
    <t>Atif</t>
  </si>
  <si>
    <t>Eyad</t>
  </si>
  <si>
    <t>Syed</t>
  </si>
  <si>
    <t>Shamsuddin</t>
  </si>
  <si>
    <t>Moutasem</t>
  </si>
  <si>
    <t>Imran Afzal</t>
  </si>
  <si>
    <t>Include?</t>
  </si>
  <si>
    <t>✓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</si>
</sst>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rgb="FF0E2841"/>
      <name val="Calibri"/>
      <family val="2"/>
    </font>
    <font>
      <b/>
      <sz val="10"/>
      <color theme="1"/>
      <name val="Calibri"/>
      <family val="2"/>
    </font>
    <font>
      <sz val="8"/>
      <color rgb="FF808080"/>
      <name val="Calibri"/>
      <family val="2"/>
    </font>
    <font>
      <b/>
      <sz val="10"/>
      <color rgb="FF8FBDD3"/>
      <name val="Calibri"/>
      <family val="2"/>
    </font>
    <font>
      <b/>
      <sz val="10"/>
      <color rgb="FF666666"/>
      <name val="Calibri"/>
      <family val="2"/>
    </font>
    <font>
      <sz val="10"/>
      <color rgb="FF0055CC"/>
      <name val="Calibri"/>
      <family val="2"/>
    </font>
    <font>
      <b/>
      <sz val="11"/>
      <color rgb="FF0055CC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8000"/>
      <name val="Calibri"/>
      <family val="2"/>
    </font>
    <font>
      <b/>
      <sz val="10"/>
      <color rgb="FFE8935A"/>
      <name val="Calibri"/>
      <family val="2"/>
    </font>
    <font>
      <b/>
      <sz val="10"/>
      <color rgb="FF1B3A4B"/>
      <name val="Calibri"/>
      <family val="2"/>
    </font>
    <font>
      <b/>
      <sz val="20"/>
      <color rgb="FFFFFFFF"/>
      <name val="Calibri"/>
      <family val="2"/>
    </font>
    <font>
      <b/>
      <sz val="10"/>
      <color rgb="FF333333"/>
      <name val="Calibri"/>
      <family val="2"/>
    </font>
    <font>
      <b/>
      <sz val="13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4A843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B3A4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C4E6B"/>
        <bgColor indexed="64"/>
      </patternFill>
    </fill>
    <fill>
      <patternFill patternType="solid">
        <fgColor rgb="FFEDF4FA"/>
        <bgColor indexed="64"/>
      </patternFill>
    </fill>
    <fill>
      <patternFill patternType="solid">
        <fgColor rgb="FFD9E2E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D0D0D0"/>
      </bottom>
      <diagonal/>
    </border>
    <border>
      <left/>
      <right/>
      <top style="thin">
        <color indexed="64"/>
      </top>
      <bottom style="thin">
        <color rgb="FFD0D0D0"/>
      </bottom>
      <diagonal/>
    </border>
    <border>
      <left/>
      <right style="thin">
        <color indexed="64"/>
      </right>
      <top style="thin">
        <color indexed="64"/>
      </top>
      <bottom style="thin">
        <color rgb="FFD0D0D0"/>
      </bottom>
      <diagonal/>
    </border>
    <border>
      <left style="thin">
        <color indexed="64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indexed="64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/>
      <top style="thin">
        <color rgb="FFD0D0D0"/>
      </top>
      <bottom style="thin">
        <color indexed="64"/>
      </bottom>
      <diagonal/>
    </border>
    <border>
      <left/>
      <right/>
      <top style="thin">
        <color rgb="FFD0D0D0"/>
      </top>
      <bottom style="thin">
        <color indexed="64"/>
      </bottom>
      <diagonal/>
    </border>
    <border>
      <left/>
      <right style="thin">
        <color indexed="64"/>
      </right>
      <top style="thin">
        <color rgb="FFD0D0D0"/>
      </top>
      <bottom style="thin">
        <color indexed="64"/>
      </bottom>
      <diagonal/>
    </border>
    <border>
      <left/>
      <right/>
      <top/>
      <bottom style="thin">
        <color rgb="FF156082"/>
      </bottom>
      <diagonal/>
    </border>
    <border>
      <left/>
      <right/>
      <top/>
      <bottom style="thin">
        <color rgb="FFD0D5D9"/>
      </bottom>
      <diagonal/>
    </border>
    <border>
      <left style="thin">
        <color indexed="64"/>
      </left>
      <right style="thin">
        <color rgb="FFD9E2EC"/>
      </right>
      <top style="thin">
        <color indexed="64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indexed="64"/>
      </top>
      <bottom style="thin">
        <color rgb="FFD9E2EC"/>
      </bottom>
      <diagonal/>
    </border>
    <border>
      <left style="thin">
        <color rgb="FFD9E2EC"/>
      </left>
      <right style="thin">
        <color auto="1"/>
      </right>
      <top style="thin">
        <color indexed="64"/>
      </top>
      <bottom style="thin">
        <color rgb="FFD9E2EC"/>
      </bottom>
      <diagonal/>
    </border>
    <border>
      <left style="thin">
        <color indexed="64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auto="1"/>
      </right>
      <top style="thin">
        <color rgb="FFD9E2EC"/>
      </top>
      <bottom style="thin">
        <color rgb="FFD9E2EC"/>
      </bottom>
      <diagonal/>
    </border>
    <border>
      <left style="thin">
        <color indexed="64"/>
      </left>
      <right style="thin">
        <color rgb="FFD9E2EC"/>
      </right>
      <top style="thin">
        <color rgb="FFD9E2EC"/>
      </top>
      <bottom style="thin">
        <color indexed="64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indexed="64"/>
      </bottom>
      <diagonal/>
    </border>
    <border>
      <left style="thin">
        <color rgb="FFD9E2EC"/>
      </left>
      <right style="thin">
        <color auto="1"/>
      </right>
      <top style="thin">
        <color rgb="FFD9E2EC"/>
      </top>
      <bottom style="thin">
        <color indexed="64"/>
      </bottom>
      <diagonal/>
    </border>
    <border>
      <left/>
      <right/>
      <top/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1C4E6B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1C4E6B"/>
      </bottom>
      <diagonal/>
    </border>
    <border>
      <left style="thin">
        <color rgb="FF1C4E6B"/>
      </left>
      <right style="thin">
        <color rgb="FFD9E2EC"/>
      </right>
      <top style="thin">
        <color rgb="FF1C4E6B"/>
      </top>
      <bottom style="thin">
        <color rgb="FFD9E2EC"/>
      </bottom>
      <diagonal/>
    </border>
    <border>
      <left style="thin">
        <color rgb="FF1C4E6B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1C4E6B"/>
      </left>
      <right style="thin">
        <color rgb="FFD9E2EC"/>
      </right>
      <top style="thin">
        <color rgb="FFD9E2EC"/>
      </top>
      <bottom style="thin">
        <color rgb="FF1C4E6B"/>
      </bottom>
      <diagonal/>
    </border>
    <border>
      <left style="thin">
        <color rgb="FFD9E2EC"/>
      </left>
      <right style="thin">
        <color rgb="FF1C4E6B"/>
      </right>
      <top style="thin">
        <color rgb="FF1C4E6B"/>
      </top>
      <bottom style="thin">
        <color rgb="FFD9E2EC"/>
      </bottom>
      <diagonal/>
    </border>
    <border>
      <left style="thin">
        <color rgb="FFD9E2EC"/>
      </left>
      <right style="thin">
        <color rgb="FF1C4E6B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1C4E6B"/>
      </right>
      <top style="thin">
        <color rgb="FFD9E2EC"/>
      </top>
      <bottom style="thin">
        <color rgb="FF1C4E6B"/>
      </bottom>
      <diagonal/>
    </border>
    <border>
      <left/>
      <right style="thin">
        <color rgb="FFD9E2EC"/>
      </right>
      <top style="thin">
        <color indexed="64"/>
      </top>
      <bottom style="thin">
        <color rgb="FFD9E2EC"/>
      </bottom>
      <diagonal/>
    </border>
    <border>
      <left style="thin">
        <color rgb="FF1C4E6B"/>
      </left>
      <right style="thin">
        <color indexed="64"/>
      </right>
      <top/>
      <bottom/>
      <diagonal/>
    </border>
    <border>
      <left style="thin">
        <color rgb="FF1C4E6B"/>
      </left>
      <right style="thin">
        <color rgb="FF1C4E6B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/>
    <xf numFmtId="4" fontId="4" fillId="3" borderId="0" xfId="0" applyNumberFormat="1" applyFont="1" applyFill="1" applyAlignment="1">
      <alignment horizontal="right"/>
    </xf>
    <xf numFmtId="0" fontId="10" fillId="5" borderId="11" xfId="0" applyFont="1" applyFill="1" applyBorder="1"/>
    <xf numFmtId="0" fontId="6" fillId="6" borderId="0" xfId="0" applyFont="1" applyFill="1"/>
    <xf numFmtId="0" fontId="1" fillId="6" borderId="0" xfId="0" applyFont="1" applyFill="1"/>
    <xf numFmtId="0" fontId="4" fillId="6" borderId="0" xfId="0" applyFont="1" applyFill="1"/>
    <xf numFmtId="0" fontId="11" fillId="6" borderId="0" xfId="0" applyFont="1" applyFill="1" applyAlignment="1">
      <alignment horizontal="right"/>
    </xf>
    <xf numFmtId="0" fontId="2" fillId="6" borderId="0" xfId="0" applyFont="1" applyFill="1"/>
    <xf numFmtId="0" fontId="6" fillId="2" borderId="0" xfId="0" applyFont="1" applyFill="1"/>
    <xf numFmtId="0" fontId="6" fillId="2" borderId="10" xfId="0" applyFont="1" applyFill="1" applyBorder="1"/>
    <xf numFmtId="0" fontId="12" fillId="2" borderId="10" xfId="0" applyFont="1" applyFill="1" applyBorder="1"/>
    <xf numFmtId="2" fontId="14" fillId="2" borderId="10" xfId="0" applyNumberFormat="1" applyFont="1" applyFill="1" applyBorder="1"/>
    <xf numFmtId="0" fontId="14" fillId="2" borderId="10" xfId="0" applyFont="1" applyFill="1" applyBorder="1"/>
    <xf numFmtId="9" fontId="14" fillId="2" borderId="10" xfId="0" applyNumberFormat="1" applyFont="1" applyFill="1" applyBorder="1"/>
    <xf numFmtId="0" fontId="6" fillId="7" borderId="0" xfId="0" applyFont="1" applyFill="1"/>
    <xf numFmtId="0" fontId="2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4" fillId="8" borderId="0" xfId="0" applyFont="1" applyFill="1"/>
    <xf numFmtId="0" fontId="6" fillId="10" borderId="0" xfId="0" applyFont="1" applyFill="1"/>
    <xf numFmtId="0" fontId="15" fillId="8" borderId="0" xfId="0" applyFont="1" applyFill="1"/>
    <xf numFmtId="0" fontId="15" fillId="8" borderId="1" xfId="0" applyFont="1" applyFill="1" applyBorder="1"/>
    <xf numFmtId="0" fontId="15" fillId="8" borderId="3" xfId="0" applyFont="1" applyFill="1" applyBorder="1" applyAlignment="1">
      <alignment horizontal="right"/>
    </xf>
    <xf numFmtId="0" fontId="7" fillId="9" borderId="4" xfId="0" applyFont="1" applyFill="1" applyBorder="1"/>
    <xf numFmtId="4" fontId="17" fillId="9" borderId="6" xfId="0" applyNumberFormat="1" applyFont="1" applyFill="1" applyBorder="1" applyAlignment="1">
      <alignment horizontal="right"/>
    </xf>
    <xf numFmtId="0" fontId="7" fillId="2" borderId="4" xfId="0" applyFont="1" applyFill="1" applyBorder="1"/>
    <xf numFmtId="4" fontId="6" fillId="2" borderId="6" xfId="0" applyNumberFormat="1" applyFont="1" applyFill="1" applyBorder="1" applyAlignment="1">
      <alignment horizontal="right"/>
    </xf>
    <xf numFmtId="4" fontId="17" fillId="2" borderId="6" xfId="0" applyNumberFormat="1" applyFont="1" applyFill="1" applyBorder="1" applyAlignment="1">
      <alignment horizontal="right"/>
    </xf>
    <xf numFmtId="0" fontId="7" fillId="9" borderId="7" xfId="0" applyFont="1" applyFill="1" applyBorder="1"/>
    <xf numFmtId="4" fontId="17" fillId="9" borderId="9" xfId="0" applyNumberFormat="1" applyFont="1" applyFill="1" applyBorder="1" applyAlignment="1">
      <alignment horizontal="right"/>
    </xf>
    <xf numFmtId="0" fontId="18" fillId="6" borderId="0" xfId="0" applyFont="1" applyFill="1"/>
    <xf numFmtId="0" fontId="18" fillId="6" borderId="0" xfId="0" applyFont="1" applyFill="1" applyAlignment="1">
      <alignment horizontal="right"/>
    </xf>
    <xf numFmtId="0" fontId="8" fillId="9" borderId="1" xfId="0" applyFont="1" applyFill="1" applyBorder="1"/>
    <xf numFmtId="0" fontId="6" fillId="9" borderId="2" xfId="0" applyFont="1" applyFill="1" applyBorder="1"/>
    <xf numFmtId="4" fontId="6" fillId="9" borderId="2" xfId="0" applyNumberFormat="1" applyFont="1" applyFill="1" applyBorder="1" applyAlignment="1">
      <alignment horizontal="right"/>
    </xf>
    <xf numFmtId="4" fontId="6" fillId="9" borderId="3" xfId="0" applyNumberFormat="1" applyFont="1" applyFill="1" applyBorder="1" applyAlignment="1">
      <alignment horizontal="right"/>
    </xf>
    <xf numFmtId="0" fontId="8" fillId="2" borderId="4" xfId="0" applyFont="1" applyFill="1" applyBorder="1"/>
    <xf numFmtId="0" fontId="6" fillId="2" borderId="5" xfId="0" applyFont="1" applyFill="1" applyBorder="1"/>
    <xf numFmtId="4" fontId="6" fillId="2" borderId="5" xfId="0" applyNumberFormat="1" applyFont="1" applyFill="1" applyBorder="1" applyAlignment="1">
      <alignment horizontal="right"/>
    </xf>
    <xf numFmtId="0" fontId="4" fillId="7" borderId="4" xfId="0" applyFont="1" applyFill="1" applyBorder="1"/>
    <xf numFmtId="0" fontId="6" fillId="7" borderId="5" xfId="0" applyFont="1" applyFill="1" applyBorder="1"/>
    <xf numFmtId="4" fontId="4" fillId="7" borderId="5" xfId="0" applyNumberFormat="1" applyFont="1" applyFill="1" applyBorder="1" applyAlignment="1">
      <alignment horizontal="right"/>
    </xf>
    <xf numFmtId="4" fontId="4" fillId="7" borderId="6" xfId="0" applyNumberFormat="1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6" fillId="4" borderId="0" xfId="0" applyFont="1" applyFill="1"/>
    <xf numFmtId="0" fontId="6" fillId="4" borderId="5" xfId="0" applyFont="1" applyFill="1" applyBorder="1"/>
    <xf numFmtId="0" fontId="19" fillId="4" borderId="4" xfId="0" applyFont="1" applyFill="1" applyBorder="1"/>
    <xf numFmtId="4" fontId="19" fillId="4" borderId="5" xfId="0" applyNumberFormat="1" applyFont="1" applyFill="1" applyBorder="1" applyAlignment="1">
      <alignment horizontal="right"/>
    </xf>
    <xf numFmtId="4" fontId="19" fillId="4" borderId="6" xfId="0" applyNumberFormat="1" applyFont="1" applyFill="1" applyBorder="1" applyAlignment="1">
      <alignment horizontal="right"/>
    </xf>
    <xf numFmtId="0" fontId="8" fillId="9" borderId="4" xfId="0" applyFont="1" applyFill="1" applyBorder="1"/>
    <xf numFmtId="0" fontId="6" fillId="9" borderId="5" xfId="0" applyFont="1" applyFill="1" applyBorder="1"/>
    <xf numFmtId="4" fontId="9" fillId="9" borderId="6" xfId="0" applyNumberFormat="1" applyFont="1" applyFill="1" applyBorder="1" applyAlignment="1">
      <alignment horizontal="right"/>
    </xf>
    <xf numFmtId="0" fontId="6" fillId="9" borderId="5" xfId="0" applyFont="1" applyFill="1" applyBorder="1" applyAlignment="1">
      <alignment horizontal="right"/>
    </xf>
    <xf numFmtId="0" fontId="9" fillId="2" borderId="4" xfId="0" applyFont="1" applyFill="1" applyBorder="1"/>
    <xf numFmtId="0" fontId="6" fillId="2" borderId="5" xfId="0" applyFont="1" applyFill="1" applyBorder="1" applyAlignment="1">
      <alignment horizontal="right"/>
    </xf>
    <xf numFmtId="0" fontId="4" fillId="6" borderId="4" xfId="0" applyFont="1" applyFill="1" applyBorder="1"/>
    <xf numFmtId="0" fontId="6" fillId="6" borderId="5" xfId="0" applyFont="1" applyFill="1" applyBorder="1"/>
    <xf numFmtId="4" fontId="4" fillId="6" borderId="5" xfId="0" applyNumberFormat="1" applyFont="1" applyFill="1" applyBorder="1" applyAlignment="1">
      <alignment horizontal="right"/>
    </xf>
    <xf numFmtId="0" fontId="4" fillId="6" borderId="6" xfId="0" applyFont="1" applyFill="1" applyBorder="1" applyAlignment="1">
      <alignment horizontal="right"/>
    </xf>
    <xf numFmtId="0" fontId="4" fillId="6" borderId="7" xfId="0" applyFont="1" applyFill="1" applyBorder="1"/>
    <xf numFmtId="0" fontId="6" fillId="6" borderId="8" xfId="0" applyFont="1" applyFill="1" applyBorder="1"/>
    <xf numFmtId="4" fontId="4" fillId="6" borderId="9" xfId="0" applyNumberFormat="1" applyFont="1" applyFill="1" applyBorder="1" applyAlignment="1">
      <alignment horizontal="right"/>
    </xf>
    <xf numFmtId="0" fontId="4" fillId="6" borderId="8" xfId="0" applyFont="1" applyFill="1" applyBorder="1" applyAlignment="1">
      <alignment horizontal="right"/>
    </xf>
    <xf numFmtId="9" fontId="13" fillId="2" borderId="5" xfId="0" applyNumberFormat="1" applyFont="1" applyFill="1" applyBorder="1" applyAlignment="1">
      <alignment horizontal="right"/>
    </xf>
    <xf numFmtId="0" fontId="8" fillId="2" borderId="0" xfId="0" applyFont="1" applyFill="1"/>
    <xf numFmtId="9" fontId="13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9" fontId="9" fillId="2" borderId="0" xfId="0" applyNumberFormat="1" applyFont="1" applyFill="1" applyAlignment="1">
      <alignment horizontal="right"/>
    </xf>
    <xf numFmtId="0" fontId="15" fillId="8" borderId="12" xfId="0" applyFont="1" applyFill="1" applyBorder="1" applyAlignment="1">
      <alignment horizontal="center"/>
    </xf>
    <xf numFmtId="0" fontId="15" fillId="8" borderId="13" xfId="0" applyFont="1" applyFill="1" applyBorder="1" applyAlignment="1">
      <alignment horizontal="center"/>
    </xf>
    <xf numFmtId="0" fontId="15" fillId="8" borderId="14" xfId="0" applyFont="1" applyFill="1" applyBorder="1" applyAlignment="1">
      <alignment horizontal="center"/>
    </xf>
    <xf numFmtId="0" fontId="6" fillId="9" borderId="15" xfId="0" applyFont="1" applyFill="1" applyBorder="1" applyAlignment="1">
      <alignment horizontal="center"/>
    </xf>
    <xf numFmtId="0" fontId="13" fillId="9" borderId="16" xfId="0" applyFont="1" applyFill="1" applyBorder="1"/>
    <xf numFmtId="0" fontId="13" fillId="9" borderId="16" xfId="0" applyFont="1" applyFill="1" applyBorder="1" applyAlignment="1">
      <alignment horizontal="center"/>
    </xf>
    <xf numFmtId="3" fontId="13" fillId="9" borderId="16" xfId="0" applyNumberFormat="1" applyFont="1" applyFill="1" applyBorder="1" applyAlignment="1">
      <alignment horizontal="right"/>
    </xf>
    <xf numFmtId="3" fontId="16" fillId="9" borderId="16" xfId="0" applyNumberFormat="1" applyFont="1" applyFill="1" applyBorder="1" applyAlignment="1">
      <alignment horizontal="right"/>
    </xf>
    <xf numFmtId="0" fontId="13" fillId="9" borderId="16" xfId="0" applyFont="1" applyFill="1" applyBorder="1" applyAlignment="1">
      <alignment horizontal="right"/>
    </xf>
    <xf numFmtId="3" fontId="16" fillId="9" borderId="17" xfId="0" applyNumberFormat="1" applyFont="1" applyFill="1" applyBorder="1" applyAlignment="1">
      <alignment horizontal="right"/>
    </xf>
    <xf numFmtId="0" fontId="6" fillId="2" borderId="15" xfId="0" applyFont="1" applyFill="1" applyBorder="1" applyAlignment="1">
      <alignment horizontal="center"/>
    </xf>
    <xf numFmtId="0" fontId="13" fillId="2" borderId="16" xfId="0" applyFont="1" applyFill="1" applyBorder="1"/>
    <xf numFmtId="0" fontId="13" fillId="2" borderId="16" xfId="0" applyFont="1" applyFill="1" applyBorder="1" applyAlignment="1">
      <alignment horizontal="center"/>
    </xf>
    <xf numFmtId="3" fontId="13" fillId="2" borderId="16" xfId="0" applyNumberFormat="1" applyFont="1" applyFill="1" applyBorder="1" applyAlignment="1">
      <alignment horizontal="right"/>
    </xf>
    <xf numFmtId="3" fontId="16" fillId="2" borderId="16" xfId="0" applyNumberFormat="1" applyFont="1" applyFill="1" applyBorder="1" applyAlignment="1">
      <alignment horizontal="right"/>
    </xf>
    <xf numFmtId="0" fontId="13" fillId="2" borderId="16" xfId="0" applyFont="1" applyFill="1" applyBorder="1" applyAlignment="1">
      <alignment horizontal="right"/>
    </xf>
    <xf numFmtId="3" fontId="16" fillId="2" borderId="17" xfId="0" applyNumberFormat="1" applyFont="1" applyFill="1" applyBorder="1" applyAlignment="1">
      <alignment horizontal="right"/>
    </xf>
    <xf numFmtId="0" fontId="4" fillId="8" borderId="18" xfId="0" applyFont="1" applyFill="1" applyBorder="1"/>
    <xf numFmtId="0" fontId="4" fillId="8" borderId="19" xfId="0" applyFont="1" applyFill="1" applyBorder="1"/>
    <xf numFmtId="0" fontId="4" fillId="8" borderId="19" xfId="0" applyFont="1" applyFill="1" applyBorder="1" applyAlignment="1">
      <alignment horizontal="right"/>
    </xf>
    <xf numFmtId="3" fontId="4" fillId="8" borderId="19" xfId="0" applyNumberFormat="1" applyFont="1" applyFill="1" applyBorder="1" applyAlignment="1">
      <alignment horizontal="right"/>
    </xf>
    <xf numFmtId="3" fontId="4" fillId="8" borderId="20" xfId="0" applyNumberFormat="1" applyFont="1" applyFill="1" applyBorder="1" applyAlignment="1">
      <alignment horizontal="right"/>
    </xf>
    <xf numFmtId="0" fontId="15" fillId="8" borderId="13" xfId="0" applyFont="1" applyFill="1" applyBorder="1"/>
    <xf numFmtId="0" fontId="15" fillId="8" borderId="13" xfId="0" applyFont="1" applyFill="1" applyBorder="1" applyAlignment="1">
      <alignment horizontal="right"/>
    </xf>
    <xf numFmtId="0" fontId="15" fillId="8" borderId="14" xfId="0" applyFont="1" applyFill="1" applyBorder="1" applyAlignment="1">
      <alignment horizontal="right"/>
    </xf>
    <xf numFmtId="4" fontId="13" fillId="9" borderId="16" xfId="0" applyNumberFormat="1" applyFont="1" applyFill="1" applyBorder="1" applyAlignment="1">
      <alignment horizontal="right"/>
    </xf>
    <xf numFmtId="4" fontId="16" fillId="9" borderId="16" xfId="0" applyNumberFormat="1" applyFont="1" applyFill="1" applyBorder="1" applyAlignment="1">
      <alignment horizontal="right"/>
    </xf>
    <xf numFmtId="4" fontId="16" fillId="9" borderId="17" xfId="0" applyNumberFormat="1" applyFont="1" applyFill="1" applyBorder="1" applyAlignment="1">
      <alignment horizontal="right"/>
    </xf>
    <xf numFmtId="4" fontId="13" fillId="2" borderId="16" xfId="0" applyNumberFormat="1" applyFont="1" applyFill="1" applyBorder="1" applyAlignment="1">
      <alignment horizontal="right"/>
    </xf>
    <xf numFmtId="4" fontId="16" fillId="2" borderId="16" xfId="0" applyNumberFormat="1" applyFont="1" applyFill="1" applyBorder="1" applyAlignment="1">
      <alignment horizontal="right"/>
    </xf>
    <xf numFmtId="4" fontId="16" fillId="2" borderId="17" xfId="0" applyNumberFormat="1" applyFont="1" applyFill="1" applyBorder="1" applyAlignment="1">
      <alignment horizontal="right"/>
    </xf>
    <xf numFmtId="4" fontId="4" fillId="3" borderId="19" xfId="0" applyNumberFormat="1" applyFont="1" applyFill="1" applyBorder="1" applyAlignment="1">
      <alignment horizontal="right"/>
    </xf>
    <xf numFmtId="4" fontId="4" fillId="3" borderId="20" xfId="0" applyNumberFormat="1" applyFont="1" applyFill="1" applyBorder="1" applyAlignment="1">
      <alignment horizontal="right"/>
    </xf>
    <xf numFmtId="3" fontId="4" fillId="3" borderId="20" xfId="0" applyNumberFormat="1" applyFont="1" applyFill="1" applyBorder="1" applyAlignment="1">
      <alignment horizontal="right"/>
    </xf>
    <xf numFmtId="0" fontId="16" fillId="2" borderId="0" xfId="0" applyFont="1" applyFill="1" applyBorder="1"/>
    <xf numFmtId="0" fontId="16" fillId="6" borderId="0" xfId="0" applyFont="1" applyFill="1" applyBorder="1"/>
    <xf numFmtId="0" fontId="20" fillId="6" borderId="0" xfId="0" applyFont="1" applyFill="1" applyBorder="1" applyAlignment="1">
      <alignment horizontal="left"/>
    </xf>
    <xf numFmtId="0" fontId="12" fillId="2" borderId="0" xfId="0" applyFont="1" applyFill="1" applyBorder="1"/>
    <xf numFmtId="0" fontId="13" fillId="2" borderId="0" xfId="0" applyFont="1" applyFill="1" applyBorder="1"/>
    <xf numFmtId="14" fontId="13" fillId="2" borderId="0" xfId="0" applyNumberFormat="1" applyFont="1" applyFill="1" applyBorder="1"/>
    <xf numFmtId="0" fontId="12" fillId="2" borderId="21" xfId="0" applyFont="1" applyFill="1" applyBorder="1"/>
    <xf numFmtId="0" fontId="13" fillId="2" borderId="21" xfId="0" applyFont="1" applyFill="1" applyBorder="1"/>
    <xf numFmtId="0" fontId="16" fillId="2" borderId="21" xfId="0" applyFont="1" applyFill="1" applyBorder="1"/>
    <xf numFmtId="0" fontId="21" fillId="2" borderId="22" xfId="0" applyFont="1" applyFill="1" applyBorder="1" applyAlignment="1">
      <alignment horizontal="right"/>
    </xf>
    <xf numFmtId="0" fontId="16" fillId="2" borderId="22" xfId="0" applyFont="1" applyFill="1" applyBorder="1"/>
    <xf numFmtId="4" fontId="5" fillId="2" borderId="22" xfId="0" applyNumberFormat="1" applyFont="1" applyFill="1" applyBorder="1" applyAlignment="1">
      <alignment horizontal="right"/>
    </xf>
    <xf numFmtId="0" fontId="12" fillId="2" borderId="21" xfId="0" applyFont="1" applyFill="1" applyBorder="1" applyAlignment="1">
      <alignment horizontal="right"/>
    </xf>
    <xf numFmtId="4" fontId="12" fillId="2" borderId="21" xfId="0" applyNumberFormat="1" applyFont="1" applyFill="1" applyBorder="1" applyAlignment="1">
      <alignment horizontal="right"/>
    </xf>
    <xf numFmtId="0" fontId="3" fillId="6" borderId="0" xfId="0" applyFont="1" applyFill="1" applyBorder="1" applyAlignment="1">
      <alignment horizontal="right"/>
    </xf>
    <xf numFmtId="4" fontId="22" fillId="3" borderId="0" xfId="0" applyNumberFormat="1" applyFont="1" applyFill="1" applyBorder="1" applyAlignment="1">
      <alignment horizontal="right"/>
    </xf>
    <xf numFmtId="0" fontId="16" fillId="2" borderId="16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left"/>
    </xf>
    <xf numFmtId="0" fontId="15" fillId="8" borderId="24" xfId="0" applyFont="1" applyFill="1" applyBorder="1" applyAlignment="1">
      <alignment horizontal="center"/>
    </xf>
    <xf numFmtId="0" fontId="13" fillId="9" borderId="25" xfId="0" applyFont="1" applyFill="1" applyBorder="1"/>
    <xf numFmtId="0" fontId="13" fillId="9" borderId="25" xfId="0" applyFont="1" applyFill="1" applyBorder="1" applyAlignment="1">
      <alignment horizontal="center"/>
    </xf>
    <xf numFmtId="4" fontId="16" fillId="9" borderId="25" xfId="0" applyNumberFormat="1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6" fillId="9" borderId="27" xfId="0" applyFont="1" applyFill="1" applyBorder="1" applyAlignment="1">
      <alignment horizontal="center"/>
    </xf>
    <xf numFmtId="0" fontId="16" fillId="2" borderId="27" xfId="0" applyFont="1" applyFill="1" applyBorder="1" applyAlignment="1">
      <alignment horizontal="center"/>
    </xf>
    <xf numFmtId="0" fontId="16" fillId="9" borderId="28" xfId="0" applyFont="1" applyFill="1" applyBorder="1" applyAlignment="1">
      <alignment horizontal="center"/>
    </xf>
    <xf numFmtId="0" fontId="15" fillId="8" borderId="29" xfId="0" applyFont="1" applyFill="1" applyBorder="1" applyAlignment="1">
      <alignment horizontal="center"/>
    </xf>
    <xf numFmtId="4" fontId="16" fillId="9" borderId="30" xfId="0" applyNumberFormat="1" applyFont="1" applyFill="1" applyBorder="1" applyAlignment="1">
      <alignment horizontal="right"/>
    </xf>
    <xf numFmtId="4" fontId="16" fillId="2" borderId="30" xfId="0" applyNumberFormat="1" applyFont="1" applyFill="1" applyBorder="1" applyAlignment="1">
      <alignment horizontal="right"/>
    </xf>
    <xf numFmtId="4" fontId="16" fillId="9" borderId="31" xfId="0" applyNumberFormat="1" applyFont="1" applyFill="1" applyBorder="1" applyAlignment="1">
      <alignment horizontal="right"/>
    </xf>
    <xf numFmtId="0" fontId="15" fillId="8" borderId="32" xfId="0" applyFont="1" applyFill="1" applyBorder="1" applyAlignment="1">
      <alignment horizontal="center"/>
    </xf>
    <xf numFmtId="0" fontId="6" fillId="9" borderId="23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15" fillId="8" borderId="33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5" fillId="8" borderId="34" xfId="0" applyFont="1" applyFill="1" applyBorder="1" applyAlignment="1">
      <alignment horizontal="center"/>
    </xf>
    <xf numFmtId="0" fontId="17" fillId="9" borderId="34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CC0000"/>
      </font>
      <fill>
        <patternFill patternType="solid">
          <fgColor indexed="64"/>
          <bgColor rgb="FFFFE6E6"/>
        </patternFill>
      </fill>
    </dxf>
    <dxf>
      <font>
        <color rgb="FFCC0000"/>
      </font>
      <fill>
        <patternFill patternType="solid">
          <fgColor indexed="64"/>
          <bgColor rgb="FFFF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75DCEE-85DA-455E-B6EB-57292630AB5D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09703630-bd09-4b2a-9a81-529ae50c849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F744-35B8-49B5-8CFB-45B6681480D8}">
  <dimension ref="A1:I53"/>
  <sheetViews>
    <sheetView tabSelected="1" topLeftCell="A30" workbookViewId="0">
      <selection activeCell="A47" sqref="A47"/>
    </sheetView>
  </sheetViews>
  <sheetFormatPr defaultRowHeight="15" x14ac:dyDescent="0.25"/>
  <cols>
    <col min="1" max="1" width="12.42578125" customWidth="1"/>
    <col min="2" max="2" width="52.140625" customWidth="1"/>
    <col min="3" max="3" width="27" customWidth="1"/>
    <col min="4" max="4" width="16.5703125" customWidth="1"/>
    <col min="5" max="5" width="30" customWidth="1"/>
    <col min="6" max="6" width="15.28515625" customWidth="1"/>
    <col min="7" max="7" width="24.28515625" customWidth="1"/>
    <col min="8" max="8" width="11.85546875" customWidth="1"/>
    <col min="9" max="9" width="14" customWidth="1"/>
  </cols>
  <sheetData>
    <row r="1" spans="1:9" ht="18" customHeight="1" x14ac:dyDescent="0.25">
      <c r="A1" s="2"/>
      <c r="B1" s="2" t="s">
        <v>93</v>
      </c>
      <c r="C1" s="2"/>
      <c r="D1" s="2" t="s">
        <v>94</v>
      </c>
      <c r="E1" s="2"/>
      <c r="F1" s="2" t="s">
        <v>95</v>
      </c>
      <c r="G1" s="2"/>
      <c r="H1" s="2" t="s">
        <v>96</v>
      </c>
      <c r="I1" s="2"/>
    </row>
    <row r="2" spans="1:9" ht="30" customHeight="1" x14ac:dyDescent="0.35">
      <c r="A2" s="3"/>
      <c r="B2" s="4" t="s">
        <v>81</v>
      </c>
      <c r="C2" s="3"/>
      <c r="D2" s="3"/>
      <c r="E2" s="3"/>
      <c r="F2" s="3"/>
      <c r="G2" s="3"/>
      <c r="H2" s="6" t="s">
        <v>2</v>
      </c>
      <c r="I2" s="7" t="s">
        <v>82</v>
      </c>
    </row>
    <row r="3" spans="1:9" ht="21.95" customHeight="1" x14ac:dyDescent="0.25">
      <c r="A3" s="8"/>
      <c r="B3" s="10" t="s">
        <v>36</v>
      </c>
      <c r="C3" s="11">
        <v>3.75</v>
      </c>
      <c r="D3" s="9"/>
      <c r="E3" s="10" t="s">
        <v>37</v>
      </c>
      <c r="F3" s="12">
        <v>5</v>
      </c>
      <c r="G3" s="9"/>
      <c r="H3" s="10" t="s">
        <v>56</v>
      </c>
      <c r="I3" s="13">
        <v>0.3</v>
      </c>
    </row>
    <row r="4" spans="1:9" ht="6" customHeight="1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26.1" customHeight="1" x14ac:dyDescent="0.25">
      <c r="A5" s="14"/>
      <c r="B5" s="15" t="s">
        <v>83</v>
      </c>
      <c r="C5" s="15"/>
      <c r="D5" s="15"/>
      <c r="E5" s="15"/>
      <c r="F5" s="15"/>
      <c r="G5" s="15"/>
      <c r="H5" s="15"/>
      <c r="I5" s="15"/>
    </row>
    <row r="6" spans="1:9" ht="21.95" customHeight="1" x14ac:dyDescent="0.25">
      <c r="A6" s="135" t="s">
        <v>104</v>
      </c>
      <c r="B6" s="132" t="s">
        <v>8</v>
      </c>
      <c r="C6" s="69" t="s">
        <v>84</v>
      </c>
      <c r="D6" s="69" t="s">
        <v>23</v>
      </c>
      <c r="E6" s="69" t="s">
        <v>24</v>
      </c>
      <c r="F6" s="69" t="s">
        <v>25</v>
      </c>
      <c r="G6" s="69" t="s">
        <v>1</v>
      </c>
      <c r="H6" s="69" t="s">
        <v>18</v>
      </c>
      <c r="I6" s="70" t="s">
        <v>26</v>
      </c>
    </row>
    <row r="7" spans="1:9" ht="21.95" customHeight="1" x14ac:dyDescent="0.25">
      <c r="A7" s="136" t="s">
        <v>105</v>
      </c>
      <c r="B7" s="133">
        <v>1</v>
      </c>
      <c r="C7" s="72" t="s">
        <v>97</v>
      </c>
      <c r="D7" s="72" t="s">
        <v>27</v>
      </c>
      <c r="E7" s="73" t="s">
        <v>28</v>
      </c>
      <c r="F7" s="74">
        <v>15000</v>
      </c>
      <c r="G7" s="75">
        <f t="shared" ref="G7:G13" si="0">IF(E7="Saudi",F7*1.5,F7*1)</f>
        <v>22500</v>
      </c>
      <c r="H7" s="76">
        <v>12</v>
      </c>
      <c r="I7" s="77">
        <f>IF(A7="✓ Yes",G7*H7,0)</f>
        <v>270000</v>
      </c>
    </row>
    <row r="8" spans="1:9" ht="21.95" customHeight="1" x14ac:dyDescent="0.25">
      <c r="A8" s="137" t="s">
        <v>105</v>
      </c>
      <c r="B8" s="134">
        <v>2</v>
      </c>
      <c r="C8" s="79" t="s">
        <v>98</v>
      </c>
      <c r="D8" s="79" t="s">
        <v>29</v>
      </c>
      <c r="E8" s="80" t="s">
        <v>28</v>
      </c>
      <c r="F8" s="81">
        <v>25000</v>
      </c>
      <c r="G8" s="82">
        <f t="shared" si="0"/>
        <v>37500</v>
      </c>
      <c r="H8" s="83">
        <v>6</v>
      </c>
      <c r="I8" s="84">
        <f>IF(A8="✓ Yes",G8*H8,0)</f>
        <v>225000</v>
      </c>
    </row>
    <row r="9" spans="1:9" ht="21.95" customHeight="1" x14ac:dyDescent="0.25">
      <c r="A9" s="136" t="s">
        <v>105</v>
      </c>
      <c r="B9" s="133">
        <v>3</v>
      </c>
      <c r="C9" s="72" t="s">
        <v>99</v>
      </c>
      <c r="D9" s="72" t="s">
        <v>30</v>
      </c>
      <c r="E9" s="73" t="s">
        <v>28</v>
      </c>
      <c r="F9" s="74">
        <v>5000</v>
      </c>
      <c r="G9" s="75">
        <f t="shared" si="0"/>
        <v>7500</v>
      </c>
      <c r="H9" s="76">
        <v>3</v>
      </c>
      <c r="I9" s="77">
        <f>IF(A9="✓ Yes",G9*H9,0)</f>
        <v>22500</v>
      </c>
    </row>
    <row r="10" spans="1:9" ht="21.95" customHeight="1" x14ac:dyDescent="0.25">
      <c r="A10" s="137" t="s">
        <v>105</v>
      </c>
      <c r="B10" s="134">
        <v>4</v>
      </c>
      <c r="C10" s="79" t="s">
        <v>100</v>
      </c>
      <c r="D10" s="79" t="s">
        <v>32</v>
      </c>
      <c r="E10" s="80" t="s">
        <v>28</v>
      </c>
      <c r="F10" s="81">
        <v>7000</v>
      </c>
      <c r="G10" s="82">
        <f t="shared" si="0"/>
        <v>10500</v>
      </c>
      <c r="H10" s="83">
        <v>3</v>
      </c>
      <c r="I10" s="84">
        <f>IF(A10="✓ Yes",G10*H10,0)</f>
        <v>31500</v>
      </c>
    </row>
    <row r="11" spans="1:9" ht="21.95" customHeight="1" x14ac:dyDescent="0.25">
      <c r="A11" s="136" t="s">
        <v>105</v>
      </c>
      <c r="B11" s="133">
        <v>5</v>
      </c>
      <c r="C11" s="72" t="s">
        <v>101</v>
      </c>
      <c r="D11" s="72" t="s">
        <v>33</v>
      </c>
      <c r="E11" s="73" t="s">
        <v>31</v>
      </c>
      <c r="F11" s="74">
        <v>10000</v>
      </c>
      <c r="G11" s="75">
        <f t="shared" si="0"/>
        <v>10000</v>
      </c>
      <c r="H11" s="76">
        <v>6</v>
      </c>
      <c r="I11" s="77">
        <f>IF(A11="✓ Yes",G11*H11,0)</f>
        <v>60000</v>
      </c>
    </row>
    <row r="12" spans="1:9" ht="21.95" customHeight="1" x14ac:dyDescent="0.25">
      <c r="A12" s="137" t="s">
        <v>105</v>
      </c>
      <c r="B12" s="134">
        <v>6</v>
      </c>
      <c r="C12" s="79" t="s">
        <v>102</v>
      </c>
      <c r="D12" s="79" t="s">
        <v>34</v>
      </c>
      <c r="E12" s="80" t="s">
        <v>31</v>
      </c>
      <c r="F12" s="81">
        <v>13000</v>
      </c>
      <c r="G12" s="82">
        <f t="shared" si="0"/>
        <v>13000</v>
      </c>
      <c r="H12" s="83">
        <v>3</v>
      </c>
      <c r="I12" s="84">
        <f>IF(A12="✓ Yes",G12*H12,0)</f>
        <v>39000</v>
      </c>
    </row>
    <row r="13" spans="1:9" ht="21.95" customHeight="1" x14ac:dyDescent="0.25">
      <c r="A13" s="136" t="s">
        <v>105</v>
      </c>
      <c r="B13" s="133">
        <v>7</v>
      </c>
      <c r="C13" s="72" t="s">
        <v>103</v>
      </c>
      <c r="D13" s="72" t="s">
        <v>35</v>
      </c>
      <c r="E13" s="73" t="s">
        <v>31</v>
      </c>
      <c r="F13" s="74">
        <v>2000</v>
      </c>
      <c r="G13" s="75">
        <f t="shared" si="0"/>
        <v>2000</v>
      </c>
      <c r="H13" s="76">
        <v>12</v>
      </c>
      <c r="I13" s="77">
        <f>IF(A13="✓ Yes",G13*H13,0)</f>
        <v>24000</v>
      </c>
    </row>
    <row r="14" spans="1:9" ht="24" customHeight="1" x14ac:dyDescent="0.25">
      <c r="A14" s="18"/>
      <c r="B14" s="85"/>
      <c r="C14" s="86"/>
      <c r="D14" s="86"/>
      <c r="E14" s="86"/>
      <c r="F14" s="87" t="s">
        <v>85</v>
      </c>
      <c r="G14" s="88">
        <f>SUM(G7:G13)</f>
        <v>103000</v>
      </c>
      <c r="H14" s="87"/>
      <c r="I14" s="89">
        <f>SUM(I7:I13)</f>
        <v>672000</v>
      </c>
    </row>
    <row r="15" spans="1:9" ht="6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</row>
    <row r="16" spans="1:9" ht="26.1" customHeight="1" x14ac:dyDescent="0.25">
      <c r="A16" s="14"/>
      <c r="B16" s="15" t="s">
        <v>86</v>
      </c>
      <c r="C16" s="14"/>
      <c r="D16" s="14"/>
      <c r="E16" s="14"/>
      <c r="F16" s="14"/>
      <c r="G16" s="14"/>
      <c r="H16" s="14"/>
      <c r="I16" s="14"/>
    </row>
    <row r="17" spans="1:9" ht="21.95" customHeight="1" x14ac:dyDescent="0.25">
      <c r="A17" s="16"/>
      <c r="B17" s="20"/>
      <c r="C17" s="20"/>
      <c r="D17" s="20"/>
      <c r="E17" s="20"/>
      <c r="F17" s="20"/>
      <c r="G17" s="21" t="s">
        <v>51</v>
      </c>
      <c r="H17" s="22" t="s">
        <v>38</v>
      </c>
      <c r="I17" s="20"/>
    </row>
    <row r="18" spans="1:9" ht="21.95" customHeight="1" x14ac:dyDescent="0.25">
      <c r="A18" s="17"/>
      <c r="B18" s="17"/>
      <c r="C18" s="17"/>
      <c r="D18" s="17"/>
      <c r="E18" s="17"/>
      <c r="F18" s="17"/>
      <c r="G18" s="23" t="s">
        <v>87</v>
      </c>
      <c r="H18" s="24">
        <f>I14</f>
        <v>672000</v>
      </c>
      <c r="I18" s="17"/>
    </row>
    <row r="19" spans="1:9" ht="21.95" customHeight="1" x14ac:dyDescent="0.25">
      <c r="A19" s="8"/>
      <c r="B19" s="8"/>
      <c r="C19" s="8"/>
      <c r="D19" s="8"/>
      <c r="E19" s="8"/>
      <c r="F19" s="8"/>
      <c r="G19" s="25" t="s">
        <v>39</v>
      </c>
      <c r="H19" s="27">
        <f>H18/F3</f>
        <v>134400</v>
      </c>
      <c r="I19" s="8"/>
    </row>
    <row r="20" spans="1:9" ht="21.95" customHeight="1" x14ac:dyDescent="0.25">
      <c r="A20" s="17"/>
      <c r="B20" s="17"/>
      <c r="C20" s="17"/>
      <c r="D20" s="17"/>
      <c r="E20" s="17"/>
      <c r="F20" s="17"/>
      <c r="G20" s="28" t="s">
        <v>40</v>
      </c>
      <c r="H20" s="29">
        <f>H19/12</f>
        <v>11200</v>
      </c>
      <c r="I20" s="17"/>
    </row>
    <row r="21" spans="1:9" ht="6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24" customHeight="1" x14ac:dyDescent="0.25">
      <c r="A22" s="3"/>
      <c r="B22" s="30" t="s">
        <v>41</v>
      </c>
      <c r="C22" s="3"/>
      <c r="D22" s="3"/>
      <c r="E22" s="3"/>
      <c r="F22" s="3"/>
      <c r="G22" s="3"/>
      <c r="H22" s="3"/>
      <c r="I22" s="3"/>
    </row>
    <row r="23" spans="1:9" ht="21.95" customHeight="1" x14ac:dyDescent="0.25">
      <c r="A23" s="16"/>
      <c r="B23" s="68" t="s">
        <v>8</v>
      </c>
      <c r="C23" s="90" t="s">
        <v>42</v>
      </c>
      <c r="D23" s="69" t="s">
        <v>43</v>
      </c>
      <c r="E23" s="91" t="s">
        <v>88</v>
      </c>
      <c r="F23" s="91" t="s">
        <v>89</v>
      </c>
      <c r="G23" s="91" t="s">
        <v>44</v>
      </c>
      <c r="H23" s="92" t="s">
        <v>45</v>
      </c>
      <c r="I23" s="20"/>
    </row>
    <row r="24" spans="1:9" ht="21.95" customHeight="1" x14ac:dyDescent="0.25">
      <c r="A24" s="17"/>
      <c r="B24" s="71">
        <v>1</v>
      </c>
      <c r="C24" s="72" t="s">
        <v>46</v>
      </c>
      <c r="D24" s="73" t="s">
        <v>15</v>
      </c>
      <c r="E24" s="93">
        <v>115</v>
      </c>
      <c r="F24" s="94">
        <f t="shared" ref="F24:F29" si="1">IF(D24="USD",E24*$C$3,E24)</f>
        <v>431.25</v>
      </c>
      <c r="G24" s="94">
        <f t="shared" ref="G24:G29" si="2">F24*12</f>
        <v>5175</v>
      </c>
      <c r="H24" s="95">
        <f t="shared" ref="H24:H29" si="3">F24</f>
        <v>431.25</v>
      </c>
      <c r="I24" s="17"/>
    </row>
    <row r="25" spans="1:9" ht="21.95" customHeight="1" x14ac:dyDescent="0.25">
      <c r="A25" s="8"/>
      <c r="B25" s="78">
        <v>2</v>
      </c>
      <c r="C25" s="79" t="s">
        <v>47</v>
      </c>
      <c r="D25" s="80" t="s">
        <v>15</v>
      </c>
      <c r="E25" s="96">
        <v>20</v>
      </c>
      <c r="F25" s="97">
        <f t="shared" si="1"/>
        <v>75</v>
      </c>
      <c r="G25" s="97">
        <f t="shared" si="2"/>
        <v>900</v>
      </c>
      <c r="H25" s="98">
        <f t="shared" si="3"/>
        <v>75</v>
      </c>
      <c r="I25" s="8"/>
    </row>
    <row r="26" spans="1:9" ht="21.95" customHeight="1" x14ac:dyDescent="0.25">
      <c r="A26" s="17"/>
      <c r="B26" s="71">
        <v>3</v>
      </c>
      <c r="C26" s="72" t="s">
        <v>48</v>
      </c>
      <c r="D26" s="73" t="s">
        <v>15</v>
      </c>
      <c r="E26" s="93">
        <v>25</v>
      </c>
      <c r="F26" s="94">
        <f t="shared" si="1"/>
        <v>93.75</v>
      </c>
      <c r="G26" s="94">
        <f t="shared" si="2"/>
        <v>1125</v>
      </c>
      <c r="H26" s="95">
        <f t="shared" si="3"/>
        <v>93.75</v>
      </c>
      <c r="I26" s="17"/>
    </row>
    <row r="27" spans="1:9" ht="21.95" customHeight="1" x14ac:dyDescent="0.25">
      <c r="A27" s="8"/>
      <c r="B27" s="78">
        <v>4</v>
      </c>
      <c r="C27" s="79" t="s">
        <v>4</v>
      </c>
      <c r="D27" s="80" t="s">
        <v>49</v>
      </c>
      <c r="E27" s="96">
        <v>10000</v>
      </c>
      <c r="F27" s="97">
        <f t="shared" si="1"/>
        <v>10000</v>
      </c>
      <c r="G27" s="97">
        <f t="shared" si="2"/>
        <v>120000</v>
      </c>
      <c r="H27" s="98">
        <f t="shared" si="3"/>
        <v>10000</v>
      </c>
      <c r="I27" s="8"/>
    </row>
    <row r="28" spans="1:9" ht="21.95" customHeight="1" x14ac:dyDescent="0.25">
      <c r="A28" s="17"/>
      <c r="B28" s="71">
        <v>5</v>
      </c>
      <c r="C28" s="72"/>
      <c r="D28" s="73"/>
      <c r="E28" s="93"/>
      <c r="F28" s="94">
        <f t="shared" si="1"/>
        <v>0</v>
      </c>
      <c r="G28" s="94">
        <f t="shared" si="2"/>
        <v>0</v>
      </c>
      <c r="H28" s="95">
        <f t="shared" si="3"/>
        <v>0</v>
      </c>
      <c r="I28" s="17"/>
    </row>
    <row r="29" spans="1:9" ht="21.95" customHeight="1" x14ac:dyDescent="0.25">
      <c r="A29" s="8"/>
      <c r="B29" s="78">
        <v>6</v>
      </c>
      <c r="C29" s="79"/>
      <c r="D29" s="80"/>
      <c r="E29" s="96"/>
      <c r="F29" s="97">
        <f t="shared" si="1"/>
        <v>0</v>
      </c>
      <c r="G29" s="97">
        <f t="shared" si="2"/>
        <v>0</v>
      </c>
      <c r="H29" s="98">
        <f t="shared" si="3"/>
        <v>0</v>
      </c>
      <c r="I29" s="8"/>
    </row>
    <row r="30" spans="1:9" ht="24" customHeight="1" x14ac:dyDescent="0.25">
      <c r="A30" s="16"/>
      <c r="B30" s="85"/>
      <c r="C30" s="86" t="s">
        <v>90</v>
      </c>
      <c r="D30" s="86"/>
      <c r="E30" s="86"/>
      <c r="F30" s="86"/>
      <c r="G30" s="99">
        <f>SUM(G24:G29)</f>
        <v>127200</v>
      </c>
      <c r="H30" s="100">
        <f>SUM(H24:H29)</f>
        <v>10600</v>
      </c>
      <c r="I30" s="18"/>
    </row>
    <row r="31" spans="1:9" ht="6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</row>
    <row r="32" spans="1:9" ht="24" customHeight="1" x14ac:dyDescent="0.25">
      <c r="A32" s="3"/>
      <c r="B32" s="30" t="s">
        <v>50</v>
      </c>
      <c r="C32" s="3"/>
      <c r="D32" s="3"/>
      <c r="E32" s="3"/>
      <c r="F32" s="3"/>
      <c r="G32" s="31" t="s">
        <v>52</v>
      </c>
      <c r="H32" s="31" t="s">
        <v>7</v>
      </c>
      <c r="I32" s="3"/>
    </row>
    <row r="33" spans="1:9" ht="21.95" customHeight="1" x14ac:dyDescent="0.25">
      <c r="A33" s="17"/>
      <c r="B33" s="17"/>
      <c r="C33" s="17"/>
      <c r="D33" s="17"/>
      <c r="E33" s="32" t="s">
        <v>53</v>
      </c>
      <c r="F33" s="33"/>
      <c r="G33" s="34">
        <f>H20</f>
        <v>11200</v>
      </c>
      <c r="H33" s="35">
        <f>G33*12</f>
        <v>134400</v>
      </c>
      <c r="I33" s="17"/>
    </row>
    <row r="34" spans="1:9" ht="21.95" customHeight="1" x14ac:dyDescent="0.25">
      <c r="A34" s="8"/>
      <c r="B34" s="8"/>
      <c r="C34" s="8"/>
      <c r="D34" s="8"/>
      <c r="E34" s="36" t="s">
        <v>54</v>
      </c>
      <c r="F34" s="37"/>
      <c r="G34" s="38">
        <f>H30</f>
        <v>10600</v>
      </c>
      <c r="H34" s="26">
        <f>G34*12</f>
        <v>127200</v>
      </c>
      <c r="I34" s="8"/>
    </row>
    <row r="35" spans="1:9" ht="21.95" customHeight="1" x14ac:dyDescent="0.25">
      <c r="A35" s="14"/>
      <c r="B35" s="14"/>
      <c r="C35" s="14"/>
      <c r="D35" s="14"/>
      <c r="E35" s="39" t="s">
        <v>55</v>
      </c>
      <c r="F35" s="40"/>
      <c r="G35" s="41">
        <f>G33+G34</f>
        <v>21800</v>
      </c>
      <c r="H35" s="42">
        <f>G35*12</f>
        <v>261600</v>
      </c>
      <c r="I35" s="14"/>
    </row>
    <row r="36" spans="1:9" ht="21.95" customHeight="1" x14ac:dyDescent="0.25">
      <c r="A36" s="8"/>
      <c r="B36" s="8"/>
      <c r="C36" s="8"/>
      <c r="D36" s="8"/>
      <c r="E36" s="36" t="s">
        <v>56</v>
      </c>
      <c r="F36" s="37"/>
      <c r="G36" s="63">
        <f>I3</f>
        <v>0.3</v>
      </c>
      <c r="H36" s="43"/>
      <c r="I36" s="8"/>
    </row>
    <row r="37" spans="1:9" ht="21.95" customHeight="1" x14ac:dyDescent="0.25">
      <c r="A37" s="44"/>
      <c r="B37" s="44"/>
      <c r="C37" s="44"/>
      <c r="D37" s="44"/>
      <c r="E37" s="46" t="s">
        <v>5</v>
      </c>
      <c r="F37" s="45"/>
      <c r="G37" s="47">
        <f>G35/(1-G36)</f>
        <v>31142.857142857145</v>
      </c>
      <c r="H37" s="48">
        <f>G37*12</f>
        <v>373714.28571428574</v>
      </c>
      <c r="I37" s="44"/>
    </row>
    <row r="38" spans="1:9" ht="21.95" customHeight="1" x14ac:dyDescent="0.25">
      <c r="A38" s="8"/>
      <c r="B38" s="8"/>
      <c r="C38" s="8"/>
      <c r="D38" s="8"/>
      <c r="E38" s="36" t="s">
        <v>57</v>
      </c>
      <c r="F38" s="37"/>
      <c r="G38" s="38">
        <f>G37-G35</f>
        <v>9342.8571428571449</v>
      </c>
      <c r="H38" s="26">
        <f>G38*12</f>
        <v>112114.28571428574</v>
      </c>
      <c r="I38" s="8"/>
    </row>
    <row r="39" spans="1:9" ht="21.95" customHeight="1" x14ac:dyDescent="0.25">
      <c r="A39" s="17"/>
      <c r="B39" s="17"/>
      <c r="C39" s="17"/>
      <c r="D39" s="17"/>
      <c r="E39" s="49" t="s">
        <v>6</v>
      </c>
      <c r="F39" s="50"/>
      <c r="G39" s="52"/>
      <c r="H39" s="51">
        <f>H38</f>
        <v>112114.28571428574</v>
      </c>
      <c r="I39" s="17"/>
    </row>
    <row r="40" spans="1:9" ht="21.95" customHeight="1" x14ac:dyDescent="0.25">
      <c r="A40" s="8"/>
      <c r="B40" s="8"/>
      <c r="C40" s="8"/>
      <c r="D40" s="8"/>
      <c r="E40" s="53"/>
      <c r="F40" s="37"/>
      <c r="G40" s="54"/>
      <c r="H40" s="43"/>
      <c r="I40" s="8"/>
    </row>
    <row r="41" spans="1:9" ht="21.95" customHeight="1" x14ac:dyDescent="0.25">
      <c r="A41" s="3"/>
      <c r="B41" s="3"/>
      <c r="C41" s="3"/>
      <c r="D41" s="3"/>
      <c r="E41" s="55" t="s">
        <v>58</v>
      </c>
      <c r="F41" s="56"/>
      <c r="G41" s="57">
        <f>G37*1.15</f>
        <v>35814.285714285717</v>
      </c>
      <c r="H41" s="58"/>
      <c r="I41" s="3"/>
    </row>
    <row r="42" spans="1:9" ht="21.95" customHeight="1" x14ac:dyDescent="0.25">
      <c r="A42" s="3"/>
      <c r="B42" s="3"/>
      <c r="C42" s="3"/>
      <c r="D42" s="3"/>
      <c r="E42" s="59" t="s">
        <v>59</v>
      </c>
      <c r="F42" s="60"/>
      <c r="G42" s="62"/>
      <c r="H42" s="61">
        <f>G41*12</f>
        <v>429771.42857142864</v>
      </c>
      <c r="I42" s="3"/>
    </row>
    <row r="43" spans="1:9" ht="6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</row>
    <row r="44" spans="1:9" ht="26.1" customHeight="1" x14ac:dyDescent="0.25">
      <c r="A44" s="14"/>
      <c r="B44" s="15" t="s">
        <v>91</v>
      </c>
      <c r="C44" s="14"/>
      <c r="D44" s="14"/>
      <c r="E44" s="14"/>
      <c r="F44" s="14"/>
      <c r="G44" s="14"/>
      <c r="H44" s="14"/>
      <c r="I44" s="14"/>
    </row>
    <row r="45" spans="1:9" ht="21.95" customHeight="1" x14ac:dyDescent="0.25">
      <c r="A45" s="138" t="s">
        <v>104</v>
      </c>
      <c r="B45" s="132" t="s">
        <v>8</v>
      </c>
      <c r="C45" s="90" t="s">
        <v>60</v>
      </c>
      <c r="D45" s="69" t="s">
        <v>24</v>
      </c>
      <c r="E45" s="91" t="s">
        <v>25</v>
      </c>
      <c r="F45" s="91" t="s">
        <v>1</v>
      </c>
      <c r="G45" s="91" t="s">
        <v>18</v>
      </c>
      <c r="H45" s="92" t="s">
        <v>62</v>
      </c>
      <c r="I45" s="16"/>
    </row>
    <row r="46" spans="1:9" ht="21.95" customHeight="1" x14ac:dyDescent="0.25">
      <c r="A46" s="139" t="s">
        <v>105</v>
      </c>
      <c r="B46" s="133">
        <v>1</v>
      </c>
      <c r="C46" s="72" t="s">
        <v>61</v>
      </c>
      <c r="D46" s="73" t="s">
        <v>28</v>
      </c>
      <c r="E46" s="74">
        <v>6000</v>
      </c>
      <c r="F46" s="75">
        <f>IF(D46="Saudi",E46*1.5,E46*1)</f>
        <v>9000</v>
      </c>
      <c r="G46" s="76">
        <v>6</v>
      </c>
      <c r="H46" s="77">
        <f>IF(A46="✓ Yes",F46*G46,0)</f>
        <v>54000</v>
      </c>
      <c r="I46" s="17"/>
    </row>
    <row r="47" spans="1:9" ht="21.95" customHeight="1" x14ac:dyDescent="0.25">
      <c r="A47" s="140" t="s">
        <v>105</v>
      </c>
      <c r="B47" s="134">
        <v>2</v>
      </c>
      <c r="C47" s="79" t="s">
        <v>19</v>
      </c>
      <c r="D47" s="80" t="s">
        <v>31</v>
      </c>
      <c r="E47" s="81">
        <v>7000</v>
      </c>
      <c r="F47" s="82">
        <f>IF(D47="Saudi",E47*1.5,E47*1)</f>
        <v>7000</v>
      </c>
      <c r="G47" s="83">
        <v>6</v>
      </c>
      <c r="H47" s="84">
        <f>IF(A47="✓ Yes",F47*G47,0)</f>
        <v>42000</v>
      </c>
      <c r="I47" s="8"/>
    </row>
    <row r="48" spans="1:9" ht="21.95" customHeight="1" x14ac:dyDescent="0.25">
      <c r="A48" s="139" t="s">
        <v>105</v>
      </c>
      <c r="B48" s="133">
        <v>3</v>
      </c>
      <c r="C48" s="72"/>
      <c r="D48" s="73"/>
      <c r="E48" s="74"/>
      <c r="F48" s="75">
        <f>IF(D48="Saudi",E48*1.5,E48*1)</f>
        <v>0</v>
      </c>
      <c r="G48" s="76"/>
      <c r="H48" s="77">
        <f>IF(A48="✓ Yes",F48*G48,0)</f>
        <v>0</v>
      </c>
      <c r="I48" s="17"/>
    </row>
    <row r="49" spans="1:9" ht="21.95" customHeight="1" x14ac:dyDescent="0.25">
      <c r="A49" s="140" t="s">
        <v>105</v>
      </c>
      <c r="B49" s="134">
        <v>4</v>
      </c>
      <c r="C49" s="79"/>
      <c r="D49" s="80"/>
      <c r="E49" s="81"/>
      <c r="F49" s="82">
        <f>IF(D49="Saudi",E49*1.5,E49*1)</f>
        <v>0</v>
      </c>
      <c r="G49" s="83"/>
      <c r="H49" s="84">
        <f>IF(A49="✓ Yes",F49*G49,0)</f>
        <v>0</v>
      </c>
      <c r="I49" s="8"/>
    </row>
    <row r="50" spans="1:9" ht="21.95" customHeight="1" x14ac:dyDescent="0.25">
      <c r="A50" s="139" t="s">
        <v>105</v>
      </c>
      <c r="B50" s="133">
        <v>5</v>
      </c>
      <c r="C50" s="72"/>
      <c r="D50" s="73"/>
      <c r="E50" s="74"/>
      <c r="F50" s="75">
        <f>IF(D50="Saudi",E50*1.5,E50*1)</f>
        <v>0</v>
      </c>
      <c r="G50" s="76"/>
      <c r="H50" s="77">
        <f>IF(A50="✓ Yes",F50*G50,0)</f>
        <v>0</v>
      </c>
      <c r="I50" s="17"/>
    </row>
    <row r="51" spans="1:9" ht="24" customHeight="1" x14ac:dyDescent="0.25">
      <c r="A51" s="16"/>
      <c r="B51" s="85"/>
      <c r="C51" s="86"/>
      <c r="D51" s="86"/>
      <c r="E51" s="87" t="s">
        <v>92</v>
      </c>
      <c r="F51" s="87"/>
      <c r="G51" s="87"/>
      <c r="H51" s="101">
        <f>SUM(H46:H50)</f>
        <v>96000</v>
      </c>
      <c r="I51" s="18" t="s">
        <v>3</v>
      </c>
    </row>
    <row r="52" spans="1:9" ht="21.95" customHeight="1" x14ac:dyDescent="0.25">
      <c r="A52" s="8"/>
      <c r="B52" s="8"/>
      <c r="C52" s="8"/>
      <c r="D52" s="8"/>
      <c r="E52" s="64" t="s">
        <v>56</v>
      </c>
      <c r="F52" s="8"/>
      <c r="G52" s="65">
        <f>I3</f>
        <v>0.3</v>
      </c>
      <c r="H52" s="66"/>
      <c r="I52" s="67" t="s">
        <v>21</v>
      </c>
    </row>
    <row r="53" spans="1:9" ht="24" customHeight="1" x14ac:dyDescent="0.25">
      <c r="A53" s="3"/>
      <c r="B53" s="3"/>
      <c r="C53" s="3"/>
      <c r="D53" s="3"/>
      <c r="E53" s="5" t="s">
        <v>22</v>
      </c>
      <c r="F53" s="3"/>
      <c r="G53" s="3"/>
      <c r="H53" s="1">
        <f>H51/(1-G52)</f>
        <v>137142.85714285716</v>
      </c>
      <c r="I53" s="5" t="s">
        <v>22</v>
      </c>
    </row>
  </sheetData>
  <conditionalFormatting sqref="A7:A13">
    <cfRule type="containsText" dxfId="1" priority="1" operator="containsText" text="✗ No">
      <formula>NOT(ISERROR(SEARCH("✗ No",A7)))</formula>
    </cfRule>
  </conditionalFormatting>
  <conditionalFormatting sqref="A46:A50">
    <cfRule type="containsText" dxfId="0" priority="2" operator="containsText" text="✗ No">
      <formula>NOT(ISERROR(SEARCH("✗ No",A46)))</formula>
    </cfRule>
  </conditionalFormatting>
  <dataValidations count="6">
    <dataValidation type="decimal" allowBlank="1" showInputMessage="1" showErrorMessage="1" promptTitle="Target Margin" prompt="Enter your target profit margin as a percentage (0-99%)" sqref="I3" xr:uid="{488895A3-5BE3-4966-902E-8D10B9560670}">
      <formula1>0</formula1>
      <formula2>0.99</formula2>
    </dataValidation>
    <dataValidation type="whole" allowBlank="1" showInputMessage="1" showErrorMessage="1" promptTitle="Number of Clients" prompt="Enter the total number of clients to split costs across (1-100)" sqref="F3" xr:uid="{6C3E33F6-3B7E-4FB7-95EE-189B4B9221A5}">
      <formula1>1</formula1>
      <formula2>100</formula2>
    </dataValidation>
    <dataValidation type="decimal" allowBlank="1" showInputMessage="1" showErrorMessage="1" promptTitle="Exchange Rate" prompt="Enter the current USD → SAR rate (default: 3.75)" sqref="C3" xr:uid="{AF531C41-495A-407C-9E64-35597177C606}">
      <formula1>0.01</formula1>
      <formula2>100</formula2>
    </dataValidation>
    <dataValidation type="list" allowBlank="1" showInputMessage="1" showErrorMessage="1" sqref="D24:D29" xr:uid="{71B95A3B-4778-448B-A817-EA9AAA366415}">
      <formula1>"USD,SAR"</formula1>
    </dataValidation>
    <dataValidation type="list" allowBlank="1" showInputMessage="1" showErrorMessage="1" sqref="D46:D50 E7:E13" xr:uid="{94F52EF7-A578-464F-AD03-6CD6EC749618}">
      <formula1>"Saudi,Pakistan"</formula1>
    </dataValidation>
    <dataValidation type="list" allowBlank="1" showInputMessage="1" showErrorMessage="1" sqref="A7:A13 A46:A50" xr:uid="{68E984FF-4006-4F18-A25E-DD2277BD9388}">
      <formula1>"✓ Yes,✗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523E-0A02-464F-8B4B-1C2554A586E7}">
  <dimension ref="A1:J17"/>
  <sheetViews>
    <sheetView workbookViewId="0">
      <selection activeCell="J17" sqref="J17"/>
    </sheetView>
  </sheetViews>
  <sheetFormatPr defaultRowHeight="15" x14ac:dyDescent="0.25"/>
  <cols>
    <col min="1" max="1" width="3.85546875" customWidth="1"/>
    <col min="2" max="2" width="22" bestFit="1" customWidth="1"/>
    <col min="3" max="3" width="18.140625" bestFit="1" customWidth="1"/>
    <col min="4" max="4" width="7.140625" bestFit="1" customWidth="1"/>
    <col min="5" max="5" width="12.7109375" bestFit="1" customWidth="1"/>
    <col min="6" max="6" width="11.85546875" bestFit="1" customWidth="1"/>
    <col min="7" max="7" width="22.7109375" bestFit="1" customWidth="1"/>
    <col min="8" max="8" width="16.28515625" bestFit="1" customWidth="1"/>
    <col min="9" max="9" width="8.85546875" bestFit="1" customWidth="1"/>
    <col min="10" max="10" width="14.7109375" bestFit="1" customWidth="1"/>
  </cols>
  <sheetData>
    <row r="1" spans="1:10" ht="8.1" customHeight="1" x14ac:dyDescent="0.25">
      <c r="A1" s="102"/>
      <c r="B1" s="102"/>
      <c r="C1" s="102"/>
      <c r="D1" s="102"/>
      <c r="E1" s="102"/>
      <c r="F1" s="102"/>
      <c r="G1" s="102"/>
      <c r="H1" s="102"/>
      <c r="I1" s="102"/>
      <c r="J1" s="102"/>
    </row>
    <row r="2" spans="1:10" ht="39.950000000000003" customHeight="1" x14ac:dyDescent="0.4">
      <c r="A2" s="103"/>
      <c r="B2" s="104" t="s">
        <v>63</v>
      </c>
      <c r="C2" s="103"/>
      <c r="D2" s="103"/>
      <c r="E2" s="103"/>
      <c r="F2" s="103"/>
      <c r="G2" s="103"/>
      <c r="H2" s="103"/>
      <c r="I2" s="103"/>
      <c r="J2" s="103"/>
    </row>
    <row r="3" spans="1:10" ht="9.9499999999999993" customHeight="1" x14ac:dyDescent="0.25">
      <c r="A3" s="102"/>
      <c r="B3" s="102"/>
      <c r="C3" s="102"/>
      <c r="D3" s="102"/>
      <c r="E3" s="102"/>
      <c r="F3" s="102"/>
      <c r="G3" s="102"/>
      <c r="H3" s="102"/>
      <c r="I3" s="102"/>
      <c r="J3" s="102"/>
    </row>
    <row r="4" spans="1:10" ht="24" customHeight="1" x14ac:dyDescent="0.25">
      <c r="A4" s="102"/>
      <c r="B4" s="105" t="s">
        <v>64</v>
      </c>
      <c r="C4" s="106" t="s">
        <v>65</v>
      </c>
      <c r="D4" s="102"/>
      <c r="E4" s="102"/>
      <c r="F4" s="102"/>
      <c r="G4" s="105" t="s">
        <v>66</v>
      </c>
      <c r="H4" s="107"/>
      <c r="I4" s="102"/>
      <c r="J4" s="102"/>
    </row>
    <row r="5" spans="1:10" ht="24" customHeight="1" x14ac:dyDescent="0.25">
      <c r="A5" s="102"/>
      <c r="B5" s="105" t="s">
        <v>67</v>
      </c>
      <c r="C5" s="106" t="s">
        <v>68</v>
      </c>
      <c r="D5" s="102"/>
      <c r="E5" s="102"/>
      <c r="F5" s="102"/>
      <c r="G5" s="105" t="s">
        <v>69</v>
      </c>
      <c r="H5" s="106" t="s">
        <v>70</v>
      </c>
      <c r="I5" s="102"/>
      <c r="J5" s="102"/>
    </row>
    <row r="6" spans="1:10" ht="24" customHeight="1" x14ac:dyDescent="0.25">
      <c r="A6" s="102"/>
      <c r="B6" s="108" t="s">
        <v>71</v>
      </c>
      <c r="C6" s="109" t="s">
        <v>72</v>
      </c>
      <c r="D6" s="110"/>
      <c r="E6" s="110"/>
      <c r="F6" s="110"/>
      <c r="G6" s="110"/>
      <c r="H6" s="110"/>
      <c r="I6" s="110"/>
      <c r="J6" s="110"/>
    </row>
    <row r="7" spans="1:10" ht="9.9499999999999993" customHeight="1" x14ac:dyDescent="0.25">
      <c r="A7" s="102"/>
      <c r="B7" s="102"/>
      <c r="C7" s="102"/>
      <c r="D7" s="102"/>
      <c r="E7" s="102"/>
      <c r="F7" s="102"/>
      <c r="G7" s="102"/>
      <c r="H7" s="102"/>
      <c r="I7" s="102"/>
      <c r="J7" s="102"/>
    </row>
    <row r="8" spans="1:10" ht="26.1" customHeight="1" x14ac:dyDescent="0.25">
      <c r="A8" s="102"/>
      <c r="B8" s="124" t="s">
        <v>73</v>
      </c>
      <c r="C8" s="119" t="s">
        <v>74</v>
      </c>
      <c r="D8" s="120" t="s">
        <v>9</v>
      </c>
      <c r="E8" s="120" t="s">
        <v>10</v>
      </c>
      <c r="F8" s="120" t="s">
        <v>75</v>
      </c>
      <c r="G8" s="120" t="s">
        <v>76</v>
      </c>
      <c r="H8" s="120" t="s">
        <v>77</v>
      </c>
      <c r="I8" s="120" t="s">
        <v>78</v>
      </c>
      <c r="J8" s="128" t="s">
        <v>79</v>
      </c>
    </row>
    <row r="9" spans="1:10" ht="24" customHeight="1" x14ac:dyDescent="0.25">
      <c r="A9" s="102"/>
      <c r="B9" s="125">
        <v>1</v>
      </c>
      <c r="C9" s="72" t="s">
        <v>80</v>
      </c>
      <c r="D9" s="73">
        <v>1</v>
      </c>
      <c r="E9" s="73" t="s">
        <v>11</v>
      </c>
      <c r="F9" s="94">
        <f>'Projection Model - Clean'!G37</f>
        <v>31142.857142857145</v>
      </c>
      <c r="G9" s="73">
        <v>12</v>
      </c>
      <c r="H9" s="94">
        <f>D9*F9*G9</f>
        <v>373714.28571428574</v>
      </c>
      <c r="I9" s="94">
        <f>H9*0.15</f>
        <v>56057.142857142862</v>
      </c>
      <c r="J9" s="129">
        <f>H9+I9</f>
        <v>429771.42857142858</v>
      </c>
    </row>
    <row r="10" spans="1:10" ht="24" customHeight="1" x14ac:dyDescent="0.25">
      <c r="A10" s="102"/>
      <c r="B10" s="126">
        <v>2</v>
      </c>
      <c r="C10" s="79" t="s">
        <v>12</v>
      </c>
      <c r="D10" s="80">
        <v>1</v>
      </c>
      <c r="E10" s="80" t="s">
        <v>14</v>
      </c>
      <c r="F10" s="118" t="s">
        <v>13</v>
      </c>
      <c r="G10" s="80" t="s">
        <v>13</v>
      </c>
      <c r="H10" s="97">
        <v>0</v>
      </c>
      <c r="I10" s="97">
        <f>H10*0.15</f>
        <v>0</v>
      </c>
      <c r="J10" s="130">
        <f>H10+I10</f>
        <v>0</v>
      </c>
    </row>
    <row r="11" spans="1:10" ht="24" customHeight="1" x14ac:dyDescent="0.25">
      <c r="A11" s="102"/>
      <c r="B11" s="125">
        <v>3</v>
      </c>
      <c r="C11" s="72" t="s">
        <v>20</v>
      </c>
      <c r="D11" s="73">
        <v>2</v>
      </c>
      <c r="E11" s="73" t="s">
        <v>0</v>
      </c>
      <c r="F11" s="94">
        <f>'Projection Model - Clean'!H53/G11/D11</f>
        <v>11428.571428571429</v>
      </c>
      <c r="G11" s="73">
        <v>6</v>
      </c>
      <c r="H11" s="94">
        <f>D11*F11*G11</f>
        <v>137142.85714285716</v>
      </c>
      <c r="I11" s="94">
        <f>H11*0.15</f>
        <v>20571.428571428572</v>
      </c>
      <c r="J11" s="129">
        <f>H11+I11</f>
        <v>157714.28571428574</v>
      </c>
    </row>
    <row r="12" spans="1:10" ht="24" customHeight="1" x14ac:dyDescent="0.25">
      <c r="A12" s="102"/>
      <c r="B12" s="126">
        <v>4</v>
      </c>
      <c r="C12" s="79"/>
      <c r="D12" s="80"/>
      <c r="E12" s="80"/>
      <c r="F12" s="97"/>
      <c r="G12" s="80"/>
      <c r="H12" s="97"/>
      <c r="I12" s="97"/>
      <c r="J12" s="130"/>
    </row>
    <row r="13" spans="1:10" ht="24" customHeight="1" x14ac:dyDescent="0.25">
      <c r="A13" s="102"/>
      <c r="B13" s="127">
        <v>5</v>
      </c>
      <c r="C13" s="121"/>
      <c r="D13" s="122"/>
      <c r="E13" s="122"/>
      <c r="F13" s="123"/>
      <c r="G13" s="122"/>
      <c r="H13" s="123"/>
      <c r="I13" s="123"/>
      <c r="J13" s="131"/>
    </row>
    <row r="14" spans="1:10" ht="12" customHeight="1" x14ac:dyDescent="0.25">
      <c r="A14" s="102"/>
      <c r="B14" s="102"/>
      <c r="C14" s="102"/>
      <c r="D14" s="102"/>
      <c r="E14" s="102"/>
      <c r="F14" s="102"/>
      <c r="G14" s="102"/>
      <c r="H14" s="102"/>
      <c r="I14" s="102"/>
      <c r="J14" s="102"/>
    </row>
    <row r="15" spans="1:10" ht="27.95" customHeight="1" x14ac:dyDescent="0.25">
      <c r="A15" s="102"/>
      <c r="B15" s="102"/>
      <c r="C15" s="102"/>
      <c r="D15" s="102"/>
      <c r="E15" s="102"/>
      <c r="F15" s="102"/>
      <c r="G15" s="111" t="s">
        <v>16</v>
      </c>
      <c r="H15" s="112"/>
      <c r="I15" s="112"/>
      <c r="J15" s="113">
        <f>SUM(H9:H13)</f>
        <v>510857.1428571429</v>
      </c>
    </row>
    <row r="16" spans="1:10" ht="24" customHeight="1" x14ac:dyDescent="0.25">
      <c r="A16" s="102"/>
      <c r="B16" s="102"/>
      <c r="C16" s="102"/>
      <c r="D16" s="102"/>
      <c r="E16" s="102"/>
      <c r="F16" s="102"/>
      <c r="G16" s="114" t="s">
        <v>78</v>
      </c>
      <c r="H16" s="110"/>
      <c r="I16" s="110"/>
      <c r="J16" s="115">
        <f>J15*0.15</f>
        <v>76628.571428571435</v>
      </c>
    </row>
    <row r="17" spans="1:10" ht="33.950000000000003" customHeight="1" x14ac:dyDescent="0.3">
      <c r="A17" s="102"/>
      <c r="B17" s="102"/>
      <c r="C17" s="102"/>
      <c r="D17" s="102"/>
      <c r="E17" s="102"/>
      <c r="F17" s="102"/>
      <c r="G17" s="116" t="s">
        <v>17</v>
      </c>
      <c r="H17" s="103"/>
      <c r="I17" s="103"/>
      <c r="J17" s="117">
        <f>J15+J16</f>
        <v>587485.71428571432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 Model - Clean</vt:lpstr>
      <vt:lpstr>Quotation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Mohammed Al Shamlan</dc:creator>
  <cp:lastModifiedBy>Areeb Shafqat</cp:lastModifiedBy>
  <dcterms:created xsi:type="dcterms:W3CDTF">2026-02-04T08:39:51Z</dcterms:created>
  <dcterms:modified xsi:type="dcterms:W3CDTF">2026-04-16T14:54:41Z</dcterms:modified>
</cp:coreProperties>
</file>