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eb\Downloads\"/>
    </mc:Choice>
  </mc:AlternateContent>
  <xr:revisionPtr revIDLastSave="0" documentId="8_{27F96DFE-A218-4A15-B096-683E52F983D5}" xr6:coauthVersionLast="47" xr6:coauthVersionMax="47" xr10:uidLastSave="{00000000-0000-0000-0000-000000000000}"/>
  <bookViews>
    <workbookView xWindow="-23148" yWindow="636" windowWidth="23256" windowHeight="13176" tabRatio="500" xr2:uid="{00000000-000D-0000-FFFF-FFFF00000000}"/>
  </bookViews>
  <sheets>
    <sheet name="Projection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0" i="1" l="1"/>
  <c r="I109" i="1"/>
  <c r="I104" i="1"/>
  <c r="I103" i="1"/>
  <c r="I102" i="1"/>
  <c r="E101" i="1"/>
  <c r="E100" i="1"/>
  <c r="G71" i="1"/>
  <c r="G70" i="1"/>
  <c r="G69" i="1"/>
  <c r="G68" i="1"/>
  <c r="D61" i="1"/>
  <c r="E61" i="1" s="1"/>
  <c r="D60" i="1"/>
  <c r="I100" i="1" s="1"/>
  <c r="H31" i="1"/>
  <c r="H30" i="1"/>
  <c r="H29" i="1"/>
  <c r="F23" i="1"/>
  <c r="E23" i="1"/>
  <c r="G23" i="1" s="1"/>
  <c r="F21" i="1"/>
  <c r="E21" i="1"/>
  <c r="G21" i="1" s="1"/>
  <c r="F20" i="1"/>
  <c r="E20" i="1"/>
  <c r="G20" i="1" s="1"/>
  <c r="F19" i="1"/>
  <c r="E19" i="1"/>
  <c r="G19" i="1" s="1"/>
  <c r="F18" i="1"/>
  <c r="E18" i="1"/>
  <c r="G18" i="1" s="1"/>
  <c r="F17" i="1"/>
  <c r="E17" i="1"/>
  <c r="G17" i="1" s="1"/>
  <c r="F16" i="1"/>
  <c r="E16" i="1"/>
  <c r="G16" i="1" s="1"/>
  <c r="D11" i="1"/>
  <c r="F11" i="1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H32" i="1" l="1"/>
  <c r="E104" i="1" s="1"/>
  <c r="G72" i="1"/>
  <c r="E91" i="1" s="1"/>
  <c r="F101" i="1"/>
  <c r="G101" i="1"/>
  <c r="I101" i="1"/>
  <c r="F100" i="1"/>
  <c r="H101" i="1"/>
  <c r="F12" i="1"/>
  <c r="G100" i="1"/>
  <c r="E60" i="1"/>
  <c r="E62" i="1" s="1"/>
  <c r="H100" i="1"/>
  <c r="F41" i="1" l="1"/>
  <c r="F45" i="1" s="1"/>
  <c r="E88" i="1" s="1"/>
  <c r="E82" i="1"/>
  <c r="E110" i="1"/>
  <c r="G82" i="1"/>
  <c r="E102" i="1"/>
  <c r="F102" i="1"/>
  <c r="H102" i="1"/>
  <c r="G73" i="1"/>
  <c r="G91" i="1" s="1"/>
  <c r="G90" i="1"/>
  <c r="E90" i="1"/>
  <c r="G79" i="1"/>
  <c r="E79" i="1"/>
  <c r="C37" i="1"/>
  <c r="F46" i="1" l="1"/>
  <c r="H104" i="1" s="1"/>
  <c r="F110" i="1"/>
  <c r="F52" i="1"/>
  <c r="G88" i="1" s="1"/>
  <c r="F104" i="1"/>
  <c r="G102" i="1"/>
  <c r="H110" i="1" l="1"/>
  <c r="G110" i="1"/>
  <c r="G104" i="1"/>
  <c r="E22" i="1" l="1"/>
  <c r="G22" i="1" s="1"/>
  <c r="G24" i="1" s="1"/>
  <c r="F22" i="1"/>
  <c r="C38" i="1" l="1"/>
  <c r="C39" i="1" s="1"/>
  <c r="E80" i="1"/>
  <c r="G80" i="1"/>
  <c r="E81" i="1" l="1"/>
  <c r="G81" i="1"/>
  <c r="C41" i="1"/>
  <c r="E83" i="1" l="1"/>
  <c r="C42" i="1"/>
  <c r="C45" i="1" l="1"/>
  <c r="E109" i="1"/>
  <c r="G83" i="1"/>
  <c r="E103" i="1"/>
  <c r="C46" i="1" l="1"/>
  <c r="F51" i="1"/>
  <c r="E89" i="1"/>
  <c r="E87" i="1"/>
  <c r="F103" i="1"/>
  <c r="F109" i="1"/>
  <c r="F111" i="1"/>
  <c r="F53" i="1" l="1"/>
  <c r="G103" i="1"/>
  <c r="G105" i="1" s="1"/>
  <c r="G87" i="1"/>
  <c r="G109" i="1"/>
  <c r="F105" i="1"/>
  <c r="H109" i="1"/>
  <c r="H103" i="1"/>
  <c r="C47" i="1"/>
  <c r="H111" i="1"/>
  <c r="H105" i="1"/>
  <c r="E115" i="1" l="1"/>
  <c r="G115" i="1" s="1"/>
  <c r="G89" i="1"/>
  <c r="G111" i="1"/>
  <c r="E127" i="1" s="1"/>
  <c r="F115" i="1"/>
  <c r="F127" i="1"/>
  <c r="F122" i="1"/>
  <c r="F123" i="1"/>
  <c r="F119" i="1"/>
  <c r="F121" i="1"/>
  <c r="F116" i="1"/>
  <c r="F117" i="1"/>
  <c r="F124" i="1"/>
  <c r="F126" i="1"/>
  <c r="F125" i="1"/>
  <c r="F118" i="1"/>
  <c r="F120" i="1"/>
  <c r="E123" i="1" l="1"/>
  <c r="E124" i="1"/>
  <c r="E119" i="1"/>
  <c r="E118" i="1"/>
  <c r="E120" i="1"/>
  <c r="E121" i="1"/>
  <c r="E116" i="1"/>
  <c r="G116" i="1" s="1"/>
  <c r="G117" i="1" s="1"/>
  <c r="G118" i="1" s="1"/>
  <c r="G119" i="1" s="1"/>
  <c r="G120" i="1" s="1"/>
  <c r="G121" i="1" s="1"/>
  <c r="G122" i="1" s="1"/>
  <c r="E125" i="1"/>
  <c r="E126" i="1"/>
  <c r="E122" i="1"/>
  <c r="E117" i="1"/>
  <c r="G123" i="1" l="1"/>
  <c r="G124" i="1" s="1"/>
  <c r="G125" i="1" s="1"/>
  <c r="G126" i="1" s="1"/>
  <c r="G127" i="1" s="1"/>
</calcChain>
</file>

<file path=xl/sharedStrings.xml><?xml version="1.0" encoding="utf-8"?>
<sst xmlns="http://schemas.openxmlformats.org/spreadsheetml/2006/main" count="195" uniqueCount="163">
  <si>
    <t>margin</t>
  </si>
  <si>
    <t xml:space="preserve">VAT </t>
  </si>
  <si>
    <t>No. of Clients</t>
  </si>
  <si>
    <t>Projection Sheet (1yr)</t>
  </si>
  <si>
    <t>2026-27</t>
  </si>
  <si>
    <t>All Cost</t>
  </si>
  <si>
    <t>S#</t>
  </si>
  <si>
    <t>Salary</t>
  </si>
  <si>
    <t>CTC</t>
  </si>
  <si>
    <t>Total Salary
(SAR) / per year</t>
  </si>
  <si>
    <t>Atif</t>
  </si>
  <si>
    <t>Imran</t>
  </si>
  <si>
    <t>Osama</t>
  </si>
  <si>
    <t>Zeeshan</t>
  </si>
  <si>
    <t>Hassan</t>
  </si>
  <si>
    <t>Areeb</t>
  </si>
  <si>
    <t>Eyad</t>
  </si>
  <si>
    <t>Total Department Cost</t>
  </si>
  <si>
    <t>Tools &amp; Subscription Cost</t>
  </si>
  <si>
    <t>Service/Tools</t>
  </si>
  <si>
    <t>Units</t>
  </si>
  <si>
    <t>Monthly (USD)</t>
  </si>
  <si>
    <t>Monthly(SAR)</t>
  </si>
  <si>
    <t>Yearly (USD)</t>
  </si>
  <si>
    <t>Yearly(SAR)</t>
  </si>
  <si>
    <t>Notes</t>
  </si>
  <si>
    <t>Claude AI</t>
  </si>
  <si>
    <t>Apple Store (IOS)</t>
  </si>
  <si>
    <t>Google Play Store (Android)</t>
  </si>
  <si>
    <t>ClickUp Business (2 seats)</t>
  </si>
  <si>
    <t>WhatsApp Business (Recurring)</t>
  </si>
  <si>
    <t>Teleconference Hosting</t>
  </si>
  <si>
    <t>ION HR module Subscription</t>
  </si>
  <si>
    <t>ZATCA Claims (Recurring)</t>
  </si>
  <si>
    <t>Total Subscription/Tools Cost</t>
  </si>
  <si>
    <t>A3  ·  Managed Services &amp; SLA Support  (Separate Add-On — billed alongside core service)</t>
  </si>
  <si>
    <t>Resource</t>
  </si>
  <si>
    <t>Dept</t>
  </si>
  <si>
    <t>Salary (SAR)</t>
  </si>
  <si>
    <t>CTC (SAR)</t>
  </si>
  <si>
    <t>% Involvement</t>
  </si>
  <si>
    <t>Months</t>
  </si>
  <si>
    <t>Annual Cost (SAR)</t>
  </si>
  <si>
    <t>Project Manager (PM)</t>
  </si>
  <si>
    <t>HC</t>
  </si>
  <si>
    <t>System Analyst (SA)</t>
  </si>
  <si>
    <t>Engineer 1</t>
  </si>
  <si>
    <t>TOTAL — Managed Services Cost (Annual SAR)</t>
  </si>
  <si>
    <t>Cost per Client (Services &amp; Tools)</t>
  </si>
  <si>
    <t>Team Cost (Annual)</t>
  </si>
  <si>
    <t>Tools &amp; Subscription</t>
  </si>
  <si>
    <t>Grand Total Cost (Yearly)</t>
  </si>
  <si>
    <t>Cost per client (Yearly)</t>
  </si>
  <si>
    <t>Managed Services (Yearly) SAR</t>
  </si>
  <si>
    <t>Cost per client (Monthly)</t>
  </si>
  <si>
    <t>Selling Price / Month</t>
  </si>
  <si>
    <t>Managed Services Selling Price (Monthly) SAR</t>
  </si>
  <si>
    <t>Profit / Month</t>
  </si>
  <si>
    <t>Managed Service Profit /Month</t>
  </si>
  <si>
    <t>Profit / Yearly</t>
  </si>
  <si>
    <t>Total Cost per client with VAT</t>
  </si>
  <si>
    <t>Total Cost per client per month with VAT (SAR)</t>
  </si>
  <si>
    <t>Total Managed Services per client per month with VAT (SAR)</t>
  </si>
  <si>
    <t>Total Monthly payable amount with Managed Services(SAR)</t>
  </si>
  <si>
    <t>One Time Setup Fees</t>
  </si>
  <si>
    <t>Item</t>
  </si>
  <si>
    <t>Vendor Cost (SAR)</t>
  </si>
  <si>
    <t>Margin</t>
  </si>
  <si>
    <t>VAT(SAR)</t>
  </si>
  <si>
    <t>Zatca Service</t>
  </si>
  <si>
    <t>WhatsApp API Integration</t>
  </si>
  <si>
    <t>One Time Setup Cost to Pay with VAT (SAR)</t>
  </si>
  <si>
    <t xml:space="preserve"> Infrastructure cost</t>
  </si>
  <si>
    <t>#</t>
  </si>
  <si>
    <t>Part No.</t>
  </si>
  <si>
    <t>Description</t>
  </si>
  <si>
    <t>Category</t>
  </si>
  <si>
    <t>Qty</t>
  </si>
  <si>
    <t>Unit Price</t>
  </si>
  <si>
    <t>Total (SAR)</t>
  </si>
  <si>
    <t>P77235-425</t>
  </si>
  <si>
    <t>HPE ProLiant DL380 Gen11 — 4514Y 2.0GHz 16c 1P 2x32GB-R 8SFF 2x2.4TB HDD 10Gb 2x1000W</t>
  </si>
  <si>
    <t>Server HW</t>
  </si>
  <si>
    <t>P73-08328</t>
  </si>
  <si>
    <t>Windows Server Standard 2022 64-bit Eng 1Pk DSP DVD 16 Core</t>
  </si>
  <si>
    <t>OS License</t>
  </si>
  <si>
    <t>APC SMV100I</t>
  </si>
  <si>
    <t>APC SMV100I-MSX Easy UPS 1000VA — Power Backup Unit</t>
  </si>
  <si>
    <t>UPS / Power</t>
  </si>
  <si>
    <t>Services</t>
  </si>
  <si>
    <t>Professional Services — Installation, Config &amp; Annual SLA Support</t>
  </si>
  <si>
    <t>Professional Servives</t>
  </si>
  <si>
    <t xml:space="preserve">  Server Package — Total (ex-VAT, inc. 5% margin)</t>
  </si>
  <si>
    <t>Total Infrastructure Cost (inc. VAT)</t>
  </si>
  <si>
    <t>Amount (inc. VAT)</t>
  </si>
  <si>
    <t>Profit</t>
  </si>
  <si>
    <t>Managed Services</t>
  </si>
  <si>
    <t>Month 1</t>
  </si>
  <si>
    <t>Running Total</t>
  </si>
  <si>
    <t xml:space="preserve">  COST SUMMARY  ·  Key Financial Figures at a Glance</t>
  </si>
  <si>
    <t>Cost Category</t>
  </si>
  <si>
    <t>Annual (SAR)</t>
  </si>
  <si>
    <t>Monthly (SAR)</t>
  </si>
  <si>
    <t>Team / Department Cost</t>
  </si>
  <si>
    <t>Subscriptions &amp; Tools</t>
  </si>
  <si>
    <t>GRAND TOTAL (Core Service)</t>
  </si>
  <si>
    <t>Cost per Client (Core)</t>
  </si>
  <si>
    <t xml:space="preserve">  SELLING PRICES  ·  After 30% Margin  +  15% VAT</t>
  </si>
  <si>
    <t>Line Item</t>
  </si>
  <si>
    <t>Selling Price (ex-VAT)</t>
  </si>
  <si>
    <t>Selling Price (inc. VAT)</t>
  </si>
  <si>
    <t>Core Platform Service / Month</t>
  </si>
  <si>
    <t>Managed Services Add-On / Month</t>
  </si>
  <si>
    <t>One-Time Setup Fees (Total)</t>
  </si>
  <si>
    <t>Infrastructure / Server (Total)</t>
  </si>
  <si>
    <t xml:space="preserve">  INVOICE #1  ·  Due on Day 1, Before Any Work Begins</t>
  </si>
  <si>
    <t>Type</t>
  </si>
  <si>
    <t>Vendor/Cost (SAR)</t>
  </si>
  <si>
    <t>Sell Price ex-VAT</t>
  </si>
  <si>
    <t>Inc. VAT (Client Pays)</t>
  </si>
  <si>
    <t>Margin %</t>
  </si>
  <si>
    <t>01</t>
  </si>
  <si>
    <t>ZATCA E-Invoicing Setup</t>
  </si>
  <si>
    <t>One-Time</t>
  </si>
  <si>
    <t>02</t>
  </si>
  <si>
    <t>03</t>
  </si>
  <si>
    <t>Server Package  (HPE ProLiant + OS + UPS + 1-Yr SLA)</t>
  </si>
  <si>
    <t>One-Time Hardware</t>
  </si>
  <si>
    <t>04</t>
  </si>
  <si>
    <t>Core Platform Service — Month 1</t>
  </si>
  <si>
    <t>05</t>
  </si>
  <si>
    <t>Managed Services Add-On — Month 1</t>
  </si>
  <si>
    <t xml:space="preserve">  INVOICE 1 TOTAL</t>
  </si>
  <si>
    <t xml:space="preserve">  INVOICES 2–12  ·  Recurring Monthly  (Same Every Month for 11 Months)</t>
  </si>
  <si>
    <t>Cost (SAR)</t>
  </si>
  <si>
    <t>Sell ex-VAT</t>
  </si>
  <si>
    <t>Client Pays (inc. VAT)</t>
  </si>
  <si>
    <t>Core Platform Service (30% margin)</t>
  </si>
  <si>
    <t>Recurring</t>
  </si>
  <si>
    <t>Managed Services Add-On (30% margin)</t>
  </si>
  <si>
    <t xml:space="preserve">  MONTHLY INVOICE TOTAL  (Months 2–12)</t>
  </si>
  <si>
    <t xml:space="preserve">  PAYMENT CALENDAR  ·  12-Month Schedule  +  Profit per Invoice</t>
  </si>
  <si>
    <t>Invoice</t>
  </si>
  <si>
    <t>Month</t>
  </si>
  <si>
    <t>What's Included</t>
  </si>
  <si>
    <t>Setup + Server + 1st Month Service</t>
  </si>
  <si>
    <t>Month 2</t>
  </si>
  <si>
    <t>Core Platform + Managed Services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</si>
  <si>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</si>
  <si>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</si>
  <si>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</si>
  <si>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</si>
  <si>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</si>
  <si>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</si>
  <si>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</si>
  <si>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</si>
  <si>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</si>
  <si>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</si>
  <si>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Profit/ month</t>
  </si>
  <si>
    <t>Profit (SAR)</t>
  </si>
  <si>
    <t xml:space="preserve"> TOTAL MONTHLY (Combined)</t>
  </si>
  <si>
    <t>Required discussion</t>
  </si>
  <si>
    <t xml:space="preserve">      YEAR 1 GRAND TOTAL  ·  Invoice 1  +  11 Monthly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</si>
</sst>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.0%"/>
  </numFmts>
  <fonts count="49" x14ac:knownFonts="1">
    <font>
      <sz val="11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4"/>
      <name val="Calibri"/>
      <family val="2"/>
      <charset val="1"/>
    </font>
    <font>
      <sz val="12"/>
      <name val="Calibri"/>
      <family val="2"/>
      <charset val="1"/>
    </font>
    <font>
      <sz val="11"/>
      <color theme="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212121"/>
      <name val="Calibri"/>
      <family val="2"/>
      <charset val="1"/>
    </font>
    <font>
      <sz val="12"/>
      <color rgb="FF1565C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rgb="FF21212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sz val="11"/>
      <color rgb="FF404040"/>
      <name val="Calibri"/>
      <family val="2"/>
    </font>
    <font>
      <b/>
      <sz val="11"/>
      <color rgb="FF1F3864"/>
      <name val="Calibri"/>
      <family val="2"/>
    </font>
    <font>
      <b/>
      <sz val="11"/>
      <color rgb="FF404040"/>
      <name val="Calibri"/>
      <family val="2"/>
    </font>
    <font>
      <b/>
      <sz val="12"/>
      <color rgb="FFFFFFFF"/>
      <name val="Calibri"/>
      <family val="2"/>
    </font>
    <font>
      <b/>
      <sz val="10"/>
      <color rgb="FF006B6B"/>
      <name val="Calibri"/>
      <family val="2"/>
    </font>
    <font>
      <b/>
      <sz val="11"/>
      <color rgb="FF006B6B"/>
      <name val="Calibri"/>
      <family val="2"/>
    </font>
    <font>
      <b/>
      <sz val="12"/>
      <color rgb="FF006B6B"/>
      <name val="Calibri"/>
      <family val="2"/>
    </font>
    <font>
      <b/>
      <sz val="10"/>
      <color rgb="FFFFFFFF"/>
      <name val="Calibri"/>
      <family val="2"/>
    </font>
    <font>
      <b/>
      <sz val="10"/>
      <color rgb="FF808080"/>
      <name val="Calibri"/>
      <family val="2"/>
    </font>
    <font>
      <b/>
      <sz val="9"/>
      <color rgb="FFC45911"/>
      <name val="Calibri"/>
      <family val="2"/>
    </font>
    <font>
      <sz val="10"/>
      <color rgb="FF808080"/>
      <name val="Calibri"/>
      <family val="2"/>
    </font>
    <font>
      <sz val="10"/>
      <color rgb="FF404040"/>
      <name val="Calibri"/>
      <family val="2"/>
    </font>
    <font>
      <b/>
      <sz val="11"/>
      <color rgb="FF1E6B3C"/>
      <name val="Calibri"/>
      <family val="2"/>
    </font>
    <font>
      <sz val="10"/>
      <color rgb="FF1E6B3C"/>
      <name val="Calibri"/>
      <family val="2"/>
    </font>
    <font>
      <b/>
      <sz val="9"/>
      <color rgb="FF006B6B"/>
      <name val="Calibri"/>
      <family val="2"/>
    </font>
    <font>
      <b/>
      <sz val="16"/>
      <color rgb="FFB8860B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0"/>
      <color rgb="FFC45911"/>
      <name val="Calibri"/>
      <family val="2"/>
    </font>
    <font>
      <b/>
      <sz val="11"/>
      <color rgb="FFC45911"/>
      <name val="Calibri"/>
      <family val="2"/>
    </font>
    <font>
      <sz val="11"/>
      <color rgb="FF1E6B3C"/>
      <name val="Calibri"/>
      <family val="2"/>
    </font>
    <font>
      <i/>
      <sz val="9"/>
      <color rgb="FFC45911"/>
      <name val="Calibri"/>
      <family val="2"/>
    </font>
    <font>
      <i/>
      <sz val="9"/>
      <color rgb="FF808080"/>
      <name val="Calibri"/>
      <family val="2"/>
    </font>
    <font>
      <b/>
      <sz val="10"/>
      <color rgb="FF1E6B3C"/>
      <name val="Calibri"/>
      <family val="2"/>
    </font>
    <font>
      <b/>
      <sz val="11"/>
      <color rgb="FFAAAAAA"/>
      <name val="Calibri"/>
      <family val="2"/>
    </font>
    <font>
      <b/>
      <sz val="18"/>
      <color rgb="FFB8860B"/>
      <name val="Calibri"/>
      <family val="2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3"/>
        <bgColor rgb="FF2E4B7A"/>
      </patternFill>
    </fill>
    <fill>
      <patternFill patternType="solid">
        <fgColor theme="3" tint="0.39988402966399123"/>
        <bgColor rgb="FF8FAADC"/>
      </patternFill>
    </fill>
    <fill>
      <patternFill patternType="solid">
        <fgColor theme="4" tint="0.59987182226020086"/>
        <bgColor rgb="FFCCCCCC"/>
      </patternFill>
    </fill>
    <fill>
      <patternFill patternType="solid">
        <fgColor theme="4"/>
        <bgColor rgb="FF1565C0"/>
      </patternFill>
    </fill>
    <fill>
      <patternFill patternType="solid">
        <fgColor theme="4" tint="0.79989013336588644"/>
        <bgColor rgb="FFDCE6F1"/>
      </patternFill>
    </fill>
    <fill>
      <patternFill patternType="solid">
        <fgColor theme="8" tint="0.79989013336588644"/>
        <bgColor rgb="FFDCE6F1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5"/>
        <bgColor rgb="FFFF8080"/>
      </patternFill>
    </fill>
    <fill>
      <patternFill patternType="solid">
        <fgColor rgb="FF4527A0"/>
        <bgColor rgb="FF1F3864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theme="4" tint="-0.249977111117893"/>
        <bgColor rgb="FF2E4B7A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/>
        <bgColor rgb="FF8497B0"/>
      </patternFill>
    </fill>
    <fill>
      <patternFill patternType="solid">
        <fgColor theme="5" tint="-0.249977111117893"/>
        <bgColor rgb="FFC45911"/>
      </patternFill>
    </fill>
    <fill>
      <patternFill patternType="solid">
        <fgColor rgb="FF1F3864"/>
        <bgColor rgb="FF243F60"/>
      </patternFill>
    </fill>
    <fill>
      <patternFill patternType="solid">
        <fgColor rgb="FFDCE6F1"/>
        <bgColor rgb="FFDAE3F3"/>
      </patternFill>
    </fill>
    <fill>
      <patternFill patternType="solid">
        <fgColor rgb="FF006B6B"/>
        <bgColor rgb="FF007070"/>
      </patternFill>
    </fill>
    <fill>
      <patternFill patternType="solid">
        <fgColor rgb="FFD9EFE8"/>
        <bgColor rgb="FFDEEBF7"/>
      </patternFill>
    </fill>
    <fill>
      <patternFill patternType="solid">
        <fgColor rgb="FFC45911"/>
        <bgColor rgb="FFC55A1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FE8"/>
      </patternFill>
    </fill>
    <fill>
      <patternFill patternType="solid">
        <fgColor rgb="FF1E6B3C"/>
        <bgColor rgb="FF145A30"/>
      </patternFill>
    </fill>
    <fill>
      <patternFill patternType="solid">
        <fgColor rgb="FF007070"/>
        <bgColor rgb="FF006B6B"/>
      </patternFill>
    </fill>
    <fill>
      <patternFill patternType="solid">
        <fgColor rgb="FF243F60"/>
        <bgColor rgb="FF1F3864"/>
      </patternFill>
    </fill>
    <fill>
      <patternFill patternType="solid">
        <fgColor rgb="FF2E4B7A"/>
        <bgColor rgb="FF2F559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rgb="FFFFE699"/>
      </patternFill>
    </fill>
    <fill>
      <patternFill patternType="solid">
        <fgColor theme="5" tint="0.79998168889431442"/>
        <bgColor rgb="FFFAFAFA"/>
      </patternFill>
    </fill>
  </fills>
  <borders count="26">
    <border>
      <left/>
      <right/>
      <top/>
      <bottom/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6B6B"/>
      </bottom>
      <diagonal/>
    </border>
    <border>
      <left/>
      <right/>
      <top/>
      <bottom style="thin">
        <color rgb="FFC45911"/>
      </bottom>
      <diagonal/>
    </border>
    <border>
      <left style="medium">
        <color rgb="FF145A30"/>
      </left>
      <right style="medium">
        <color rgb="FF145A30"/>
      </right>
      <top style="medium">
        <color rgb="FF145A30"/>
      </top>
      <bottom style="medium">
        <color rgb="FF145A30"/>
      </bottom>
      <diagonal/>
    </border>
  </borders>
  <cellStyleXfs count="2">
    <xf numFmtId="0" fontId="0" fillId="0" borderId="0"/>
    <xf numFmtId="164" fontId="47" fillId="0" borderId="0"/>
  </cellStyleXfs>
  <cellXfs count="181">
    <xf numFmtId="0" fontId="0" fillId="0" borderId="0" xfId="0"/>
    <xf numFmtId="0" fontId="10" fillId="10" borderId="5" xfId="0" applyFont="1" applyFill="1" applyBorder="1" applyAlignment="1">
      <alignment horizontal="center" vertical="center" wrapText="1"/>
    </xf>
    <xf numFmtId="0" fontId="1" fillId="2" borderId="0" xfId="0" applyFont="1" applyFill="1"/>
    <xf numFmtId="9" fontId="2" fillId="3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164" fontId="6" fillId="7" borderId="5" xfId="1" applyFont="1" applyFill="1" applyBorder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1" fontId="6" fillId="8" borderId="6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vertical="center" wrapText="1"/>
    </xf>
    <xf numFmtId="0" fontId="12" fillId="11" borderId="5" xfId="0" applyFont="1" applyFill="1" applyBorder="1" applyAlignment="1">
      <alignment horizontal="center" vertical="center" wrapText="1"/>
    </xf>
    <xf numFmtId="165" fontId="12" fillId="11" borderId="5" xfId="0" applyNumberFormat="1" applyFont="1" applyFill="1" applyBorder="1" applyAlignment="1">
      <alignment horizontal="center" vertical="center" wrapText="1"/>
    </xf>
    <xf numFmtId="4" fontId="11" fillId="11" borderId="5" xfId="0" applyNumberFormat="1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left" vertical="center" wrapText="1"/>
    </xf>
    <xf numFmtId="0" fontId="12" fillId="12" borderId="5" xfId="0" applyFont="1" applyFill="1" applyBorder="1" applyAlignment="1">
      <alignment horizontal="center" vertical="center" wrapText="1"/>
    </xf>
    <xf numFmtId="165" fontId="12" fillId="12" borderId="5" xfId="0" applyNumberFormat="1" applyFont="1" applyFill="1" applyBorder="1" applyAlignment="1">
      <alignment horizontal="center" vertical="center" wrapText="1"/>
    </xf>
    <xf numFmtId="4" fontId="11" fillId="12" borderId="5" xfId="0" applyNumberFormat="1" applyFont="1" applyFill="1" applyBorder="1" applyAlignment="1">
      <alignment horizontal="center" vertical="center" wrapText="1"/>
    </xf>
    <xf numFmtId="4" fontId="10" fillId="10" borderId="5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164" fontId="47" fillId="0" borderId="9" xfId="1" applyBorder="1"/>
    <xf numFmtId="0" fontId="0" fillId="0" borderId="10" xfId="0" applyBorder="1"/>
    <xf numFmtId="0" fontId="0" fillId="0" borderId="11" xfId="0" applyBorder="1"/>
    <xf numFmtId="164" fontId="47" fillId="0" borderId="5" xfId="1" applyBorder="1"/>
    <xf numFmtId="0" fontId="0" fillId="0" borderId="13" xfId="0" applyBorder="1"/>
    <xf numFmtId="164" fontId="3" fillId="0" borderId="5" xfId="1" applyFont="1" applyBorder="1"/>
    <xf numFmtId="0" fontId="0" fillId="0" borderId="14" xfId="0" applyBorder="1"/>
    <xf numFmtId="164" fontId="47" fillId="0" borderId="0" xfId="1"/>
    <xf numFmtId="164" fontId="3" fillId="0" borderId="15" xfId="1" applyFont="1" applyBorder="1"/>
    <xf numFmtId="164" fontId="14" fillId="15" borderId="5" xfId="0" applyNumberFormat="1" applyFont="1" applyFill="1" applyBorder="1"/>
    <xf numFmtId="164" fontId="3" fillId="15" borderId="15" xfId="1" applyFont="1" applyFill="1" applyBorder="1"/>
    <xf numFmtId="164" fontId="6" fillId="0" borderId="5" xfId="0" applyNumberFormat="1" applyFont="1" applyBorder="1"/>
    <xf numFmtId="164" fontId="14" fillId="0" borderId="15" xfId="0" applyNumberFormat="1" applyFont="1" applyBorder="1"/>
    <xf numFmtId="0" fontId="0" fillId="0" borderId="16" xfId="0" applyBorder="1"/>
    <xf numFmtId="0" fontId="0" fillId="0" borderId="17" xfId="0" applyBorder="1"/>
    <xf numFmtId="164" fontId="3" fillId="15" borderId="19" xfId="0" applyNumberFormat="1" applyFont="1" applyFill="1" applyBorder="1" applyAlignment="1">
      <alignment vertical="center"/>
    </xf>
    <xf numFmtId="0" fontId="10" fillId="16" borderId="5" xfId="0" applyFont="1" applyFill="1" applyBorder="1" applyAlignment="1">
      <alignment horizontal="center" vertical="center" wrapText="1"/>
    </xf>
    <xf numFmtId="164" fontId="11" fillId="11" borderId="5" xfId="1" applyFont="1" applyFill="1" applyBorder="1" applyAlignment="1">
      <alignment horizontal="center" vertical="center" wrapText="1"/>
    </xf>
    <xf numFmtId="164" fontId="11" fillId="12" borderId="5" xfId="1" applyFont="1" applyFill="1" applyBorder="1" applyAlignment="1">
      <alignment horizontal="center" vertical="center" wrapText="1"/>
    </xf>
    <xf numFmtId="164" fontId="3" fillId="15" borderId="5" xfId="0" applyNumberFormat="1" applyFont="1" applyFill="1" applyBorder="1" applyAlignment="1">
      <alignment vertical="center"/>
    </xf>
    <xf numFmtId="0" fontId="10" fillId="17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left" vertical="center" wrapText="1"/>
    </xf>
    <xf numFmtId="0" fontId="15" fillId="12" borderId="5" xfId="0" applyFont="1" applyFill="1" applyBorder="1" applyAlignment="1">
      <alignment horizontal="left" vertical="center" wrapText="1"/>
    </xf>
    <xf numFmtId="4" fontId="16" fillId="17" borderId="5" xfId="0" applyNumberFormat="1" applyFont="1" applyFill="1" applyBorder="1" applyAlignment="1">
      <alignment horizontal="center" vertical="center" wrapText="1"/>
    </xf>
    <xf numFmtId="0" fontId="0" fillId="19" borderId="21" xfId="0" applyFill="1" applyBorder="1"/>
    <xf numFmtId="0" fontId="0" fillId="12" borderId="22" xfId="0" applyFill="1" applyBorder="1"/>
    <xf numFmtId="0" fontId="0" fillId="11" borderId="22" xfId="0" applyFill="1" applyBorder="1"/>
    <xf numFmtId="0" fontId="0" fillId="19" borderId="22" xfId="0" applyFill="1" applyBorder="1"/>
    <xf numFmtId="4" fontId="21" fillId="11" borderId="22" xfId="0" applyNumberFormat="1" applyFont="1" applyFill="1" applyBorder="1" applyAlignment="1">
      <alignment horizontal="right" vertical="center"/>
    </xf>
    <xf numFmtId="0" fontId="0" fillId="21" borderId="23" xfId="0" applyFill="1" applyBorder="1"/>
    <xf numFmtId="0" fontId="0" fillId="21" borderId="22" xfId="0" applyFill="1" applyBorder="1"/>
    <xf numFmtId="0" fontId="26" fillId="17" borderId="24" xfId="0" applyFont="1" applyFill="1" applyBorder="1" applyAlignment="1">
      <alignment horizontal="center" vertical="center"/>
    </xf>
    <xf numFmtId="0" fontId="26" fillId="17" borderId="24" xfId="0" applyFont="1" applyFill="1" applyBorder="1" applyAlignment="1">
      <alignment horizontal="right" vertical="center"/>
    </xf>
    <xf numFmtId="0" fontId="27" fillId="23" borderId="22" xfId="0" applyFont="1" applyFill="1" applyBorder="1" applyAlignment="1">
      <alignment horizontal="center" vertical="center"/>
    </xf>
    <xf numFmtId="0" fontId="28" fillId="23" borderId="22" xfId="0" applyFont="1" applyFill="1" applyBorder="1" applyAlignment="1">
      <alignment horizontal="center" vertical="center"/>
    </xf>
    <xf numFmtId="4" fontId="29" fillId="23" borderId="22" xfId="0" applyNumberFormat="1" applyFont="1" applyFill="1" applyBorder="1" applyAlignment="1">
      <alignment horizontal="right" vertical="center"/>
    </xf>
    <xf numFmtId="4" fontId="30" fillId="23" borderId="22" xfId="0" applyNumberFormat="1" applyFont="1" applyFill="1" applyBorder="1" applyAlignment="1">
      <alignment horizontal="right" vertical="center"/>
    </xf>
    <xf numFmtId="4" fontId="21" fillId="23" borderId="22" xfId="0" applyNumberFormat="1" applyFont="1" applyFill="1" applyBorder="1" applyAlignment="1">
      <alignment horizontal="right" vertical="center"/>
    </xf>
    <xf numFmtId="4" fontId="31" fillId="24" borderId="22" xfId="0" applyNumberFormat="1" applyFont="1" applyFill="1" applyBorder="1" applyAlignment="1">
      <alignment horizontal="right" vertical="center"/>
    </xf>
    <xf numFmtId="165" fontId="32" fillId="24" borderId="22" xfId="0" applyNumberFormat="1" applyFont="1" applyFill="1" applyBorder="1" applyAlignment="1">
      <alignment horizontal="center" vertical="center"/>
    </xf>
    <xf numFmtId="0" fontId="27" fillId="11" borderId="22" xfId="0" applyFont="1" applyFill="1" applyBorder="1" applyAlignment="1">
      <alignment horizontal="center" vertical="center"/>
    </xf>
    <xf numFmtId="0" fontId="28" fillId="11" borderId="22" xfId="0" applyFont="1" applyFill="1" applyBorder="1" applyAlignment="1">
      <alignment horizontal="center" vertical="center"/>
    </xf>
    <xf numFmtId="4" fontId="29" fillId="11" borderId="22" xfId="0" applyNumberFormat="1" applyFont="1" applyFill="1" applyBorder="1" applyAlignment="1">
      <alignment horizontal="right" vertical="center"/>
    </xf>
    <xf numFmtId="4" fontId="30" fillId="11" borderId="22" xfId="0" applyNumberFormat="1" applyFont="1" applyFill="1" applyBorder="1" applyAlignment="1">
      <alignment horizontal="right" vertical="center"/>
    </xf>
    <xf numFmtId="0" fontId="33" fillId="11" borderId="22" xfId="0" applyFont="1" applyFill="1" applyBorder="1" applyAlignment="1">
      <alignment horizontal="center" vertical="center"/>
    </xf>
    <xf numFmtId="0" fontId="33" fillId="23" borderId="22" xfId="0" applyFont="1" applyFill="1" applyBorder="1" applyAlignment="1">
      <alignment horizontal="center" vertical="center"/>
    </xf>
    <xf numFmtId="4" fontId="22" fillId="18" borderId="0" xfId="0" applyNumberFormat="1" applyFont="1" applyFill="1" applyAlignment="1">
      <alignment horizontal="right" vertical="center"/>
    </xf>
    <xf numFmtId="4" fontId="34" fillId="18" borderId="0" xfId="0" applyNumberFormat="1" applyFont="1" applyFill="1" applyAlignment="1">
      <alignment horizontal="right" vertical="center"/>
    </xf>
    <xf numFmtId="4" fontId="35" fillId="25" borderId="25" xfId="0" applyNumberFormat="1" applyFont="1" applyFill="1" applyBorder="1" applyAlignment="1">
      <alignment horizontal="right" vertical="center"/>
    </xf>
    <xf numFmtId="0" fontId="36" fillId="25" borderId="0" xfId="0" applyFont="1" applyFill="1" applyAlignment="1">
      <alignment horizontal="center" vertical="center"/>
    </xf>
    <xf numFmtId="0" fontId="26" fillId="26" borderId="23" xfId="0" applyFont="1" applyFill="1" applyBorder="1" applyAlignment="1">
      <alignment horizontal="center" vertical="center"/>
    </xf>
    <xf numFmtId="0" fontId="26" fillId="26" borderId="23" xfId="0" applyFont="1" applyFill="1" applyBorder="1" applyAlignment="1">
      <alignment horizontal="right" vertical="center"/>
    </xf>
    <xf numFmtId="0" fontId="27" fillId="12" borderId="22" xfId="0" applyFont="1" applyFill="1" applyBorder="1" applyAlignment="1">
      <alignment horizontal="center" vertical="center"/>
    </xf>
    <xf numFmtId="0" fontId="33" fillId="12" borderId="22" xfId="0" applyFont="1" applyFill="1" applyBorder="1" applyAlignment="1">
      <alignment horizontal="center" vertical="center"/>
    </xf>
    <xf numFmtId="4" fontId="29" fillId="12" borderId="22" xfId="0" applyNumberFormat="1" applyFont="1" applyFill="1" applyBorder="1" applyAlignment="1">
      <alignment horizontal="right" vertical="center"/>
    </xf>
    <xf numFmtId="4" fontId="30" fillId="12" borderId="22" xfId="0" applyNumberFormat="1" applyFont="1" applyFill="1" applyBorder="1" applyAlignment="1">
      <alignment horizontal="right" vertical="center"/>
    </xf>
    <xf numFmtId="4" fontId="21" fillId="12" borderId="22" xfId="0" applyNumberFormat="1" applyFont="1" applyFill="1" applyBorder="1" applyAlignment="1">
      <alignment horizontal="right" vertical="center"/>
    </xf>
    <xf numFmtId="4" fontId="37" fillId="20" borderId="0" xfId="0" applyNumberFormat="1" applyFont="1" applyFill="1" applyAlignment="1">
      <alignment horizontal="right" vertical="center"/>
    </xf>
    <xf numFmtId="4" fontId="38" fillId="20" borderId="0" xfId="0" applyNumberFormat="1" applyFont="1" applyFill="1" applyAlignment="1">
      <alignment horizontal="right" vertical="center"/>
    </xf>
    <xf numFmtId="0" fontId="26" fillId="27" borderId="5" xfId="0" applyFont="1" applyFill="1" applyBorder="1" applyAlignment="1">
      <alignment horizontal="center" vertical="center"/>
    </xf>
    <xf numFmtId="0" fontId="26" fillId="22" borderId="5" xfId="0" applyFont="1" applyFill="1" applyBorder="1" applyAlignment="1">
      <alignment horizontal="center" vertical="center"/>
    </xf>
    <xf numFmtId="0" fontId="39" fillId="23" borderId="5" xfId="0" applyFont="1" applyFill="1" applyBorder="1" applyAlignment="1">
      <alignment horizontal="center" vertical="center"/>
    </xf>
    <xf numFmtId="4" fontId="40" fillId="23" borderId="5" xfId="0" applyNumberFormat="1" applyFont="1" applyFill="1" applyBorder="1" applyAlignment="1">
      <alignment horizontal="right" vertical="center"/>
    </xf>
    <xf numFmtId="4" fontId="31" fillId="24" borderId="5" xfId="0" applyNumberFormat="1" applyFont="1" applyFill="1" applyBorder="1" applyAlignment="1">
      <alignment horizontal="right" vertical="center"/>
    </xf>
    <xf numFmtId="4" fontId="19" fillId="23" borderId="5" xfId="0" applyNumberFormat="1" applyFont="1" applyFill="1" applyBorder="1" applyAlignment="1">
      <alignment horizontal="right" vertical="center"/>
    </xf>
    <xf numFmtId="0" fontId="26" fillId="28" borderId="5" xfId="0" applyFont="1" applyFill="1" applyBorder="1" applyAlignment="1">
      <alignment horizontal="center" vertical="center"/>
    </xf>
    <xf numFmtId="0" fontId="30" fillId="12" borderId="5" xfId="0" applyFont="1" applyFill="1" applyBorder="1" applyAlignment="1">
      <alignment horizontal="center" vertical="center"/>
    </xf>
    <xf numFmtId="4" fontId="19" fillId="12" borderId="5" xfId="0" applyNumberFormat="1" applyFont="1" applyFill="1" applyBorder="1" applyAlignment="1">
      <alignment horizontal="right" vertical="center"/>
    </xf>
    <xf numFmtId="4" fontId="41" fillId="24" borderId="5" xfId="0" applyNumberFormat="1" applyFont="1" applyFill="1" applyBorder="1" applyAlignment="1">
      <alignment horizontal="right" vertical="center"/>
    </xf>
    <xf numFmtId="0" fontId="30" fillId="11" borderId="5" xfId="0" applyFont="1" applyFill="1" applyBorder="1" applyAlignment="1">
      <alignment horizontal="center" vertical="center"/>
    </xf>
    <xf numFmtId="4" fontId="19" fillId="11" borderId="5" xfId="0" applyNumberFormat="1" applyFont="1" applyFill="1" applyBorder="1" applyAlignment="1">
      <alignment horizontal="right" vertical="center"/>
    </xf>
    <xf numFmtId="0" fontId="26" fillId="25" borderId="5" xfId="0" applyFont="1" applyFill="1" applyBorder="1" applyAlignment="1">
      <alignment horizontal="center" vertical="center"/>
    </xf>
    <xf numFmtId="0" fontId="44" fillId="12" borderId="5" xfId="0" applyFont="1" applyFill="1" applyBorder="1" applyAlignment="1">
      <alignment horizontal="center" vertical="center"/>
    </xf>
    <xf numFmtId="4" fontId="45" fillId="18" borderId="5" xfId="0" applyNumberFormat="1" applyFont="1" applyFill="1" applyBorder="1" applyAlignment="1">
      <alignment horizontal="right" vertical="center"/>
    </xf>
    <xf numFmtId="4" fontId="35" fillId="25" borderId="5" xfId="0" applyNumberFormat="1" applyFont="1" applyFill="1" applyBorder="1" applyAlignment="1">
      <alignment horizontal="right" vertical="center"/>
    </xf>
    <xf numFmtId="4" fontId="46" fillId="18" borderId="5" xfId="0" applyNumberFormat="1" applyFont="1" applyFill="1" applyBorder="1" applyAlignment="1">
      <alignment horizontal="right" vertical="center"/>
    </xf>
    <xf numFmtId="164" fontId="48" fillId="29" borderId="5" xfId="0" applyNumberFormat="1" applyFont="1" applyFill="1" applyBorder="1"/>
    <xf numFmtId="164" fontId="48" fillId="29" borderId="15" xfId="1" applyFont="1" applyFill="1" applyBorder="1"/>
    <xf numFmtId="0" fontId="6" fillId="30" borderId="5" xfId="0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center" vertical="center" wrapText="1"/>
    </xf>
    <xf numFmtId="0" fontId="6" fillId="30" borderId="6" xfId="0" applyFont="1" applyFill="1" applyBorder="1" applyAlignment="1">
      <alignment horizontal="center" vertical="center"/>
    </xf>
    <xf numFmtId="164" fontId="11" fillId="31" borderId="5" xfId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right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14" fillId="11" borderId="5" xfId="0" applyFont="1" applyFill="1" applyBorder="1" applyAlignment="1">
      <alignment horizontal="right" vertical="center" wrapText="1"/>
    </xf>
    <xf numFmtId="0" fontId="17" fillId="18" borderId="0" xfId="0" applyFont="1" applyFill="1" applyAlignment="1">
      <alignment horizontal="left" vertical="center"/>
    </xf>
    <xf numFmtId="0" fontId="14" fillId="15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13" fillId="0" borderId="18" xfId="0" applyFont="1" applyBorder="1" applyAlignment="1">
      <alignment horizontal="center"/>
    </xf>
    <xf numFmtId="0" fontId="10" fillId="16" borderId="7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right" vertical="center" wrapText="1"/>
    </xf>
    <xf numFmtId="0" fontId="10" fillId="17" borderId="20" xfId="0" applyFont="1" applyFill="1" applyBorder="1" applyAlignment="1">
      <alignment horizontal="center" vertical="center" wrapText="1"/>
    </xf>
    <xf numFmtId="0" fontId="16" fillId="17" borderId="5" xfId="0" applyFont="1" applyFill="1" applyBorder="1" applyAlignment="1">
      <alignment horizontal="left" vertical="center" wrapText="1"/>
    </xf>
    <xf numFmtId="0" fontId="21" fillId="11" borderId="22" xfId="0" applyFont="1" applyFill="1" applyBorder="1" applyAlignment="1">
      <alignment horizontal="left" vertical="center"/>
    </xf>
    <xf numFmtId="4" fontId="21" fillId="11" borderId="22" xfId="0" applyNumberFormat="1" applyFont="1" applyFill="1" applyBorder="1" applyAlignment="1">
      <alignment horizontal="center" vertical="center"/>
    </xf>
    <xf numFmtId="0" fontId="18" fillId="19" borderId="21" xfId="0" applyFont="1" applyFill="1" applyBorder="1" applyAlignment="1">
      <alignment horizontal="left" vertical="center"/>
    </xf>
    <xf numFmtId="0" fontId="18" fillId="19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left" vertical="center"/>
    </xf>
    <xf numFmtId="4" fontId="19" fillId="12" borderId="22" xfId="0" applyNumberFormat="1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left" vertical="center"/>
    </xf>
    <xf numFmtId="4" fontId="19" fillId="11" borderId="22" xfId="0" applyNumberFormat="1" applyFont="1" applyFill="1" applyBorder="1" applyAlignment="1">
      <alignment horizontal="center" vertical="center"/>
    </xf>
    <xf numFmtId="0" fontId="20" fillId="19" borderId="22" xfId="0" applyFont="1" applyFill="1" applyBorder="1" applyAlignment="1">
      <alignment horizontal="left" vertical="center"/>
    </xf>
    <xf numFmtId="4" fontId="20" fillId="19" borderId="22" xfId="0" applyNumberFormat="1" applyFont="1" applyFill="1" applyBorder="1" applyAlignment="1">
      <alignment horizontal="center" vertical="center"/>
    </xf>
    <xf numFmtId="4" fontId="19" fillId="11" borderId="22" xfId="0" applyNumberFormat="1" applyFont="1" applyFill="1" applyBorder="1" applyAlignment="1">
      <alignment horizontal="right" vertical="center"/>
    </xf>
    <xf numFmtId="0" fontId="22" fillId="20" borderId="0" xfId="0" applyFont="1" applyFill="1" applyAlignment="1">
      <alignment horizontal="left" vertical="center"/>
    </xf>
    <xf numFmtId="0" fontId="23" fillId="21" borderId="23" xfId="0" applyFont="1" applyFill="1" applyBorder="1" applyAlignment="1">
      <alignment horizontal="left" vertical="center"/>
    </xf>
    <xf numFmtId="0" fontId="23" fillId="21" borderId="23" xfId="0" applyFont="1" applyFill="1" applyBorder="1" applyAlignment="1">
      <alignment horizontal="center" vertical="center"/>
    </xf>
    <xf numFmtId="4" fontId="19" fillId="12" borderId="22" xfId="0" applyNumberFormat="1" applyFont="1" applyFill="1" applyBorder="1" applyAlignment="1">
      <alignment horizontal="right" vertical="center"/>
    </xf>
    <xf numFmtId="0" fontId="24" fillId="21" borderId="22" xfId="0" applyFont="1" applyFill="1" applyBorder="1" applyAlignment="1">
      <alignment horizontal="left" vertical="center"/>
    </xf>
    <xf numFmtId="4" fontId="24" fillId="21" borderId="22" xfId="0" applyNumberFormat="1" applyFont="1" applyFill="1" applyBorder="1" applyAlignment="1">
      <alignment horizontal="right" vertical="center"/>
    </xf>
    <xf numFmtId="4" fontId="25" fillId="21" borderId="22" xfId="0" applyNumberFormat="1" applyFont="1" applyFill="1" applyBorder="1" applyAlignment="1">
      <alignment horizontal="right" vertical="center"/>
    </xf>
    <xf numFmtId="0" fontId="19" fillId="23" borderId="22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/>
    </xf>
    <xf numFmtId="0" fontId="26" fillId="26" borderId="23" xfId="0" applyFont="1" applyFill="1" applyBorder="1" applyAlignment="1">
      <alignment horizontal="left" vertical="center"/>
    </xf>
    <xf numFmtId="0" fontId="17" fillId="22" borderId="0" xfId="0" applyFont="1" applyFill="1" applyAlignment="1">
      <alignment horizontal="left" vertical="center"/>
    </xf>
    <xf numFmtId="0" fontId="26" fillId="17" borderId="24" xfId="0" applyFont="1" applyFill="1" applyBorder="1" applyAlignment="1">
      <alignment horizontal="left" vertical="center"/>
    </xf>
    <xf numFmtId="0" fontId="19" fillId="11" borderId="22" xfId="0" applyFont="1" applyFill="1" applyBorder="1" applyAlignment="1">
      <alignment horizontal="left" vertical="center" wrapText="1"/>
    </xf>
    <xf numFmtId="0" fontId="26" fillId="27" borderId="5" xfId="0" applyFont="1" applyFill="1" applyBorder="1" applyAlignment="1">
      <alignment horizontal="center" vertical="center"/>
    </xf>
    <xf numFmtId="0" fontId="39" fillId="23" borderId="5" xfId="0" applyFont="1" applyFill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  <xf numFmtId="0" fontId="43" fillId="11" borderId="5" xfId="0" applyFont="1" applyFill="1" applyBorder="1" applyAlignment="1">
      <alignment horizontal="left" vertical="center"/>
    </xf>
    <xf numFmtId="0" fontId="43" fillId="12" borderId="5" xfId="0" applyFont="1" applyFill="1" applyBorder="1" applyAlignment="1">
      <alignment horizontal="left" vertical="center"/>
    </xf>
    <xf numFmtId="0" fontId="22" fillId="18" borderId="5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1E6B3C"/>
      <rgbColor rgb="FF1F3864"/>
      <rgbColor rgb="FFB8860B"/>
      <rgbColor rgb="FF800080"/>
      <rgbColor rgb="FF007070"/>
      <rgbColor rgb="FFCCCCCC"/>
      <rgbColor rgb="FF808080"/>
      <rgbColor rgb="FF8FAADC"/>
      <rgbColor rgb="FFC55A11"/>
      <rgbColor rgb="FFFFF2CC"/>
      <rgbColor rgb="FFD9EFE8"/>
      <rgbColor rgb="FF2F5597"/>
      <rgbColor rgb="FFFF8080"/>
      <rgbColor rgb="FF1565C0"/>
      <rgbColor rgb="FFB4C7E7"/>
      <rgbColor rgb="FF243F60"/>
      <rgbColor rgb="FFFF00FF"/>
      <rgbColor rgb="FFDCE6F1"/>
      <rgbColor rgb="FF00FFFF"/>
      <rgbColor rgb="FF800080"/>
      <rgbColor rgb="FF800000"/>
      <rgbColor rgb="FF006B6B"/>
      <rgbColor rgb="FF0000FF"/>
      <rgbColor rgb="FF00CCFF"/>
      <rgbColor rgb="FFDEEBF7"/>
      <rgbColor rgb="FFE2EFDA"/>
      <rgbColor rgb="FFFFE699"/>
      <rgbColor rgb="FFD6DCE5"/>
      <rgbColor rgb="FFFCE4D6"/>
      <rgbColor rgb="FFAAAAAA"/>
      <rgbColor rgb="FFF8CBAD"/>
      <rgbColor rgb="FF4472C4"/>
      <rgbColor rgb="FF33CCCC"/>
      <rgbColor rgb="FF99CC00"/>
      <rgbColor rgb="FFDAE3F3"/>
      <rgbColor rgb="FFFF9900"/>
      <rgbColor rgb="FFED7D31"/>
      <rgbColor rgb="FF44546A"/>
      <rgbColor rgb="FF8497B0"/>
      <rgbColor rgb="FF002060"/>
      <rgbColor rgb="FF70AD47"/>
      <rgbColor rgb="FF145A30"/>
      <rgbColor rgb="FF212121"/>
      <rgbColor rgb="FFC45911"/>
      <rgbColor rgb="FF2E4B7A"/>
      <rgbColor rgb="FF4527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topLeftCell="A110" zoomScaleNormal="100" workbookViewId="0">
      <selection activeCell="G7" sqref="G7"/>
    </sheetView>
  </sheetViews>
  <sheetFormatPr defaultColWidth="8.7109375" defaultRowHeight="15" x14ac:dyDescent="0.25"/>
  <cols>
    <col min="2" max="3" width="15.5703125" customWidth="1"/>
    <col min="4" max="4" width="23" customWidth="1"/>
    <col min="5" max="5" width="22.85546875" customWidth="1"/>
    <col min="6" max="6" width="28.140625" customWidth="1"/>
    <col min="7" max="7" width="20.140625" customWidth="1"/>
    <col min="8" max="8" width="22.5703125" customWidth="1"/>
    <col min="9" max="9" width="19.140625" customWidth="1"/>
    <col min="10" max="10" width="12.85546875" customWidth="1"/>
    <col min="11" max="11" width="13.7109375" customWidth="1"/>
  </cols>
  <sheetData>
    <row r="1" spans="1:16" ht="18" customHeight="1" x14ac:dyDescent="0.3">
      <c r="A1" s="2" t="s">
        <v>0</v>
      </c>
      <c r="B1" s="3">
        <v>0.3</v>
      </c>
      <c r="C1" s="2" t="s">
        <v>1</v>
      </c>
      <c r="D1" s="3">
        <v>1.1499999999999999</v>
      </c>
      <c r="E1" s="2" t="s">
        <v>2</v>
      </c>
      <c r="F1" s="4">
        <v>5</v>
      </c>
      <c r="G1" s="129" t="s">
        <v>3</v>
      </c>
      <c r="H1" s="129"/>
      <c r="I1" s="129"/>
      <c r="J1" s="5" t="s">
        <v>4</v>
      </c>
      <c r="L1" s="6"/>
      <c r="P1" s="6"/>
    </row>
    <row r="2" spans="1:16" ht="18" customHeight="1" x14ac:dyDescent="0.3">
      <c r="A2" s="7"/>
      <c r="B2" s="8"/>
      <c r="C2" s="6"/>
      <c r="D2" s="7"/>
      <c r="E2" s="8"/>
      <c r="F2" s="6"/>
      <c r="G2" s="7"/>
      <c r="H2" s="9"/>
      <c r="I2" s="6"/>
      <c r="J2" s="6"/>
      <c r="K2" s="6"/>
      <c r="L2" s="6"/>
      <c r="M2" s="6"/>
      <c r="N2" s="6"/>
      <c r="O2" s="6"/>
      <c r="P2" s="6"/>
    </row>
    <row r="3" spans="1:16" ht="18" customHeight="1" x14ac:dyDescent="0.3">
      <c r="A3" s="130" t="s">
        <v>5</v>
      </c>
      <c r="B3" s="130"/>
      <c r="C3" s="130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30.75" customHeight="1" x14ac:dyDescent="0.3">
      <c r="A4" s="10" t="s">
        <v>6</v>
      </c>
      <c r="B4" s="11" t="s">
        <v>36</v>
      </c>
      <c r="C4" s="11" t="s">
        <v>7</v>
      </c>
      <c r="D4" s="11" t="s">
        <v>8</v>
      </c>
      <c r="E4" s="12" t="s">
        <v>41</v>
      </c>
      <c r="F4" s="13" t="s">
        <v>9</v>
      </c>
      <c r="G4" s="14"/>
      <c r="H4" s="14"/>
      <c r="I4" s="14"/>
      <c r="J4" s="14"/>
      <c r="K4" s="6"/>
      <c r="L4" s="6"/>
      <c r="M4" s="6"/>
      <c r="N4" s="6"/>
      <c r="O4" s="6"/>
      <c r="P4" s="6"/>
    </row>
    <row r="5" spans="1:16" ht="18" customHeight="1" x14ac:dyDescent="0.3">
      <c r="A5" s="15">
        <v>1</v>
      </c>
      <c r="B5" s="16" t="s">
        <v>10</v>
      </c>
      <c r="C5" s="17">
        <v>10000</v>
      </c>
      <c r="D5" s="16">
        <f>C5*1.5</f>
        <v>15000</v>
      </c>
      <c r="E5" s="16">
        <v>12</v>
      </c>
      <c r="F5" s="16">
        <f t="shared" ref="F5:F11" si="0">D5*E5</f>
        <v>180000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8" customHeight="1" x14ac:dyDescent="0.3">
      <c r="A6" s="15">
        <v>2</v>
      </c>
      <c r="B6" s="16" t="s">
        <v>11</v>
      </c>
      <c r="C6" s="18">
        <v>6000</v>
      </c>
      <c r="D6" s="19">
        <f>C6*1</f>
        <v>6000</v>
      </c>
      <c r="E6" s="16">
        <v>12</v>
      </c>
      <c r="F6" s="16">
        <f t="shared" si="0"/>
        <v>72000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8" customHeight="1" x14ac:dyDescent="0.3">
      <c r="A7" s="15">
        <v>3</v>
      </c>
      <c r="B7" s="16" t="s">
        <v>12</v>
      </c>
      <c r="C7" s="16">
        <v>3000</v>
      </c>
      <c r="D7" s="19">
        <f>C7*1</f>
        <v>3000</v>
      </c>
      <c r="E7" s="16">
        <v>12</v>
      </c>
      <c r="F7" s="16">
        <f t="shared" si="0"/>
        <v>36000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8" customHeight="1" x14ac:dyDescent="0.3">
      <c r="A8" s="15">
        <v>4</v>
      </c>
      <c r="B8" s="16" t="s">
        <v>13</v>
      </c>
      <c r="C8" s="16">
        <v>3000</v>
      </c>
      <c r="D8" s="19">
        <f>C8*1</f>
        <v>3000</v>
      </c>
      <c r="E8" s="16">
        <v>12</v>
      </c>
      <c r="F8" s="16">
        <f t="shared" si="0"/>
        <v>36000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8" customHeight="1" x14ac:dyDescent="0.3">
      <c r="A9" s="15">
        <v>5</v>
      </c>
      <c r="B9" s="16" t="s">
        <v>14</v>
      </c>
      <c r="C9" s="16">
        <v>3000</v>
      </c>
      <c r="D9" s="19">
        <f>C9*1</f>
        <v>3000</v>
      </c>
      <c r="E9" s="16">
        <v>12</v>
      </c>
      <c r="F9" s="16">
        <f t="shared" si="0"/>
        <v>36000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8" customHeight="1" x14ac:dyDescent="0.3">
      <c r="A10" s="15">
        <v>6</v>
      </c>
      <c r="B10" s="16" t="s">
        <v>15</v>
      </c>
      <c r="C10" s="16">
        <v>8500</v>
      </c>
      <c r="D10" s="16">
        <f>C10*1.5</f>
        <v>12750</v>
      </c>
      <c r="E10" s="16">
        <v>3</v>
      </c>
      <c r="F10" s="16">
        <f t="shared" si="0"/>
        <v>38250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8" customHeight="1" x14ac:dyDescent="0.3">
      <c r="A11" s="15">
        <v>7</v>
      </c>
      <c r="B11" s="16" t="s">
        <v>16</v>
      </c>
      <c r="C11" s="16">
        <v>6500</v>
      </c>
      <c r="D11" s="16">
        <f>C11*1.5</f>
        <v>9750</v>
      </c>
      <c r="E11" s="20">
        <v>3</v>
      </c>
      <c r="F11" s="16">
        <f t="shared" si="0"/>
        <v>29250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27.75" customHeight="1" x14ac:dyDescent="0.25">
      <c r="A12" s="131" t="s">
        <v>17</v>
      </c>
      <c r="B12" s="131"/>
      <c r="C12" s="131"/>
      <c r="D12" s="131"/>
      <c r="E12" s="131"/>
      <c r="F12" s="21">
        <f>SUM(F5:F11)</f>
        <v>427500</v>
      </c>
    </row>
    <row r="13" spans="1:16" x14ac:dyDescent="0.25">
      <c r="A13" s="22"/>
      <c r="B13" s="22"/>
      <c r="C13" s="22"/>
      <c r="D13" s="22"/>
      <c r="E13" s="23"/>
      <c r="F13" s="22"/>
    </row>
    <row r="14" spans="1:16" ht="18" customHeight="1" x14ac:dyDescent="0.3">
      <c r="A14" s="132" t="s">
        <v>18</v>
      </c>
      <c r="B14" s="132"/>
      <c r="C14" s="132"/>
      <c r="D14" s="22"/>
      <c r="E14" s="23"/>
      <c r="F14" s="22"/>
    </row>
    <row r="15" spans="1:16" ht="15" customHeight="1" x14ac:dyDescent="0.25">
      <c r="A15" s="24" t="s">
        <v>6</v>
      </c>
      <c r="B15" s="25" t="s">
        <v>19</v>
      </c>
      <c r="C15" s="25" t="s">
        <v>20</v>
      </c>
      <c r="D15" s="25" t="s">
        <v>21</v>
      </c>
      <c r="E15" s="25" t="s">
        <v>22</v>
      </c>
      <c r="F15" s="25" t="s">
        <v>23</v>
      </c>
      <c r="G15" s="25" t="s">
        <v>24</v>
      </c>
      <c r="H15" s="26" t="s">
        <v>25</v>
      </c>
    </row>
    <row r="16" spans="1:16" ht="33" customHeight="1" x14ac:dyDescent="0.25">
      <c r="A16" s="27">
        <v>1</v>
      </c>
      <c r="B16" s="27" t="s">
        <v>26</v>
      </c>
      <c r="C16" s="27">
        <v>1</v>
      </c>
      <c r="D16" s="27">
        <v>115</v>
      </c>
      <c r="E16" s="27">
        <f t="shared" ref="E16:E23" si="1">D16*3.75</f>
        <v>431.25</v>
      </c>
      <c r="F16" s="27">
        <f t="shared" ref="F16:G23" si="2">D16*12</f>
        <v>1380</v>
      </c>
      <c r="G16" s="27">
        <f t="shared" si="2"/>
        <v>5175</v>
      </c>
      <c r="H16" s="28"/>
    </row>
    <row r="17" spans="1:8" ht="30.75" customHeight="1" x14ac:dyDescent="0.25">
      <c r="A17" s="28">
        <v>2</v>
      </c>
      <c r="B17" s="29" t="s">
        <v>27</v>
      </c>
      <c r="C17" s="28">
        <v>1</v>
      </c>
      <c r="D17" s="28">
        <v>115</v>
      </c>
      <c r="E17" s="27">
        <f t="shared" si="1"/>
        <v>431.25</v>
      </c>
      <c r="F17" s="27">
        <f t="shared" si="2"/>
        <v>1380</v>
      </c>
      <c r="G17" s="27">
        <f t="shared" si="2"/>
        <v>5175</v>
      </c>
      <c r="H17" s="28"/>
    </row>
    <row r="18" spans="1:8" ht="46.5" customHeight="1" x14ac:dyDescent="0.25">
      <c r="A18" s="28">
        <v>3</v>
      </c>
      <c r="B18" s="29" t="s">
        <v>28</v>
      </c>
      <c r="C18" s="28">
        <v>1</v>
      </c>
      <c r="D18" s="28">
        <v>30</v>
      </c>
      <c r="E18" s="27">
        <f t="shared" si="1"/>
        <v>112.5</v>
      </c>
      <c r="F18" s="27">
        <f t="shared" si="2"/>
        <v>360</v>
      </c>
      <c r="G18" s="27">
        <f t="shared" si="2"/>
        <v>1350</v>
      </c>
      <c r="H18" s="28"/>
    </row>
    <row r="19" spans="1:8" ht="46.5" customHeight="1" x14ac:dyDescent="0.25">
      <c r="A19" s="28">
        <v>4</v>
      </c>
      <c r="B19" s="29" t="s">
        <v>29</v>
      </c>
      <c r="C19" s="28">
        <v>1</v>
      </c>
      <c r="D19" s="28">
        <v>30</v>
      </c>
      <c r="E19" s="27">
        <f t="shared" si="1"/>
        <v>112.5</v>
      </c>
      <c r="F19" s="27">
        <f t="shared" si="2"/>
        <v>360</v>
      </c>
      <c r="G19" s="27">
        <f t="shared" si="2"/>
        <v>1350</v>
      </c>
      <c r="H19" s="28"/>
    </row>
    <row r="20" spans="1:8" ht="46.5" customHeight="1" x14ac:dyDescent="0.25">
      <c r="A20" s="28">
        <v>5</v>
      </c>
      <c r="B20" s="29" t="s">
        <v>30</v>
      </c>
      <c r="C20" s="28">
        <v>1</v>
      </c>
      <c r="D20" s="28">
        <v>250</v>
      </c>
      <c r="E20" s="27">
        <f t="shared" si="1"/>
        <v>937.5</v>
      </c>
      <c r="F20" s="27">
        <f t="shared" si="2"/>
        <v>3000</v>
      </c>
      <c r="G20" s="27">
        <f t="shared" si="2"/>
        <v>11250</v>
      </c>
      <c r="H20" s="28"/>
    </row>
    <row r="21" spans="1:8" ht="30.75" customHeight="1" x14ac:dyDescent="0.25">
      <c r="A21" s="28">
        <v>6</v>
      </c>
      <c r="B21" s="29" t="s">
        <v>31</v>
      </c>
      <c r="C21" s="28">
        <v>1</v>
      </c>
      <c r="D21" s="28">
        <v>10</v>
      </c>
      <c r="E21" s="27">
        <f t="shared" si="1"/>
        <v>37.5</v>
      </c>
      <c r="F21" s="27">
        <f t="shared" si="2"/>
        <v>120</v>
      </c>
      <c r="G21" s="27">
        <f t="shared" si="2"/>
        <v>450</v>
      </c>
      <c r="H21" s="28"/>
    </row>
    <row r="22" spans="1:8" ht="46.5" customHeight="1" x14ac:dyDescent="0.25">
      <c r="A22" s="123">
        <v>7</v>
      </c>
      <c r="B22" s="124" t="s">
        <v>32</v>
      </c>
      <c r="C22" s="123">
        <v>1</v>
      </c>
      <c r="D22" s="123">
        <v>800</v>
      </c>
      <c r="E22" s="125">
        <f t="shared" si="1"/>
        <v>3000</v>
      </c>
      <c r="F22" s="125">
        <f t="shared" si="2"/>
        <v>9600</v>
      </c>
      <c r="G22" s="125">
        <f t="shared" si="2"/>
        <v>36000</v>
      </c>
      <c r="H22" s="123" t="s">
        <v>161</v>
      </c>
    </row>
    <row r="23" spans="1:8" ht="30.75" customHeight="1" x14ac:dyDescent="0.25">
      <c r="A23" s="28">
        <v>8</v>
      </c>
      <c r="B23" s="29" t="s">
        <v>33</v>
      </c>
      <c r="C23" s="28">
        <v>50</v>
      </c>
      <c r="D23" s="28">
        <v>27</v>
      </c>
      <c r="E23" s="30">
        <f t="shared" si="1"/>
        <v>101.25</v>
      </c>
      <c r="F23" s="27">
        <f t="shared" si="2"/>
        <v>324</v>
      </c>
      <c r="G23" s="27">
        <f t="shared" si="2"/>
        <v>1215</v>
      </c>
      <c r="H23" s="28"/>
    </row>
    <row r="24" spans="1:8" ht="30" customHeight="1" x14ac:dyDescent="0.25">
      <c r="A24" s="133" t="s">
        <v>34</v>
      </c>
      <c r="B24" s="133"/>
      <c r="C24" s="133"/>
      <c r="D24" s="133"/>
      <c r="E24" s="133"/>
      <c r="F24" s="133"/>
      <c r="G24" s="31">
        <f>SUM(G16:G23)</f>
        <v>61965</v>
      </c>
    </row>
    <row r="27" spans="1:8" ht="15" customHeight="1" x14ac:dyDescent="0.25">
      <c r="A27" s="134" t="s">
        <v>35</v>
      </c>
      <c r="B27" s="134"/>
      <c r="C27" s="134"/>
      <c r="D27" s="134"/>
      <c r="E27" s="134"/>
      <c r="F27" s="134"/>
      <c r="G27" s="134"/>
      <c r="H27" s="134"/>
    </row>
    <row r="28" spans="1:8" ht="30.75" customHeight="1" x14ac:dyDescent="0.25">
      <c r="A28" s="1" t="s">
        <v>6</v>
      </c>
      <c r="B28" s="1" t="s">
        <v>36</v>
      </c>
      <c r="C28" s="1" t="s">
        <v>37</v>
      </c>
      <c r="D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</row>
    <row r="29" spans="1:8" ht="30.75" customHeight="1" x14ac:dyDescent="0.25">
      <c r="A29" s="32">
        <v>1</v>
      </c>
      <c r="B29" s="33" t="s">
        <v>43</v>
      </c>
      <c r="C29" s="32" t="s">
        <v>44</v>
      </c>
      <c r="D29" s="34">
        <v>20000</v>
      </c>
      <c r="E29" s="34">
        <v>30000</v>
      </c>
      <c r="F29" s="35">
        <v>0.05</v>
      </c>
      <c r="G29" s="34">
        <v>12</v>
      </c>
      <c r="H29" s="36">
        <f>E29*F29*G29</f>
        <v>18000</v>
      </c>
    </row>
    <row r="30" spans="1:8" ht="30.75" customHeight="1" x14ac:dyDescent="0.25">
      <c r="A30" s="37">
        <v>2</v>
      </c>
      <c r="B30" s="38" t="s">
        <v>45</v>
      </c>
      <c r="C30" s="37" t="s">
        <v>44</v>
      </c>
      <c r="D30" s="39">
        <v>10500</v>
      </c>
      <c r="E30" s="39">
        <v>10500</v>
      </c>
      <c r="F30" s="40">
        <v>0.3</v>
      </c>
      <c r="G30" s="39">
        <v>12</v>
      </c>
      <c r="H30" s="41">
        <f>E30*F30*G30</f>
        <v>37800</v>
      </c>
    </row>
    <row r="31" spans="1:8" ht="30.75" customHeight="1" x14ac:dyDescent="0.25">
      <c r="A31" s="32">
        <v>3</v>
      </c>
      <c r="B31" s="33" t="s">
        <v>46</v>
      </c>
      <c r="C31" s="32" t="s">
        <v>44</v>
      </c>
      <c r="D31" s="34">
        <v>5500</v>
      </c>
      <c r="E31" s="34">
        <v>5500</v>
      </c>
      <c r="F31" s="35">
        <v>1</v>
      </c>
      <c r="G31" s="34">
        <v>12</v>
      </c>
      <c r="H31" s="36">
        <f>E31*F31*G31</f>
        <v>66000</v>
      </c>
    </row>
    <row r="32" spans="1:8" ht="15" customHeight="1" x14ac:dyDescent="0.25">
      <c r="A32" s="135" t="s">
        <v>47</v>
      </c>
      <c r="B32" s="135"/>
      <c r="C32" s="135"/>
      <c r="D32" s="135"/>
      <c r="E32" s="135"/>
      <c r="F32" s="135"/>
      <c r="G32" s="135"/>
      <c r="H32" s="42">
        <f>SUM(H29:H31)</f>
        <v>121800</v>
      </c>
    </row>
    <row r="33" spans="1:8" ht="15" customHeight="1" x14ac:dyDescent="0.25">
      <c r="A33" s="43"/>
      <c r="B33" s="43"/>
      <c r="C33" s="43"/>
      <c r="D33" s="43"/>
      <c r="E33" s="43"/>
      <c r="F33" s="43"/>
      <c r="G33" s="43"/>
      <c r="H33" s="43"/>
    </row>
    <row r="35" spans="1:8" x14ac:dyDescent="0.25">
      <c r="A35" s="44"/>
      <c r="B35" s="44"/>
      <c r="C35" s="44"/>
    </row>
    <row r="36" spans="1:8" ht="29.25" customHeight="1" x14ac:dyDescent="0.25">
      <c r="A36" s="136" t="s">
        <v>48</v>
      </c>
      <c r="B36" s="136"/>
      <c r="C36" s="136"/>
      <c r="D36" s="136"/>
      <c r="E36" s="136"/>
      <c r="F36" s="136"/>
    </row>
    <row r="37" spans="1:8" x14ac:dyDescent="0.25">
      <c r="A37" s="137" t="s">
        <v>49</v>
      </c>
      <c r="B37" s="137"/>
      <c r="C37" s="45">
        <f>F12*1</f>
        <v>427500</v>
      </c>
      <c r="D37" s="46"/>
      <c r="E37" s="46"/>
      <c r="F37" s="47"/>
    </row>
    <row r="38" spans="1:8" x14ac:dyDescent="0.25">
      <c r="A38" s="138" t="s">
        <v>50</v>
      </c>
      <c r="B38" s="138"/>
      <c r="C38" s="48">
        <f>G24*1</f>
        <v>61965</v>
      </c>
      <c r="F38" s="49"/>
    </row>
    <row r="39" spans="1:8" ht="18" customHeight="1" x14ac:dyDescent="0.3">
      <c r="A39" s="139" t="s">
        <v>51</v>
      </c>
      <c r="B39" s="139"/>
      <c r="C39" s="50">
        <f>SUM(C37:C38)</f>
        <v>489465</v>
      </c>
      <c r="F39" s="49"/>
    </row>
    <row r="40" spans="1:8" x14ac:dyDescent="0.25">
      <c r="A40" s="51"/>
      <c r="C40" s="52"/>
      <c r="F40" s="49"/>
    </row>
    <row r="41" spans="1:8" ht="18" customHeight="1" x14ac:dyDescent="0.3">
      <c r="A41" s="127" t="s">
        <v>52</v>
      </c>
      <c r="B41" s="127"/>
      <c r="C41" s="50">
        <f>C39/F1</f>
        <v>97893</v>
      </c>
      <c r="D41" s="128" t="s">
        <v>53</v>
      </c>
      <c r="E41" s="128"/>
      <c r="F41" s="53">
        <f>H32/12</f>
        <v>10150</v>
      </c>
    </row>
    <row r="42" spans="1:8" ht="18" customHeight="1" x14ac:dyDescent="0.3">
      <c r="A42" s="127" t="s">
        <v>54</v>
      </c>
      <c r="B42" s="127"/>
      <c r="C42" s="50">
        <f>C41/12</f>
        <v>8157.75</v>
      </c>
      <c r="F42" s="49"/>
    </row>
    <row r="43" spans="1:8" x14ac:dyDescent="0.25">
      <c r="A43" s="51"/>
      <c r="F43" s="49"/>
    </row>
    <row r="44" spans="1:8" x14ac:dyDescent="0.25">
      <c r="A44" s="51"/>
      <c r="F44" s="49"/>
    </row>
    <row r="45" spans="1:8" ht="18" customHeight="1" x14ac:dyDescent="0.3">
      <c r="A45" s="127" t="s">
        <v>55</v>
      </c>
      <c r="B45" s="127"/>
      <c r="C45" s="54">
        <f>C42/(1-B1)</f>
        <v>11653.928571428572</v>
      </c>
      <c r="D45" s="128" t="s">
        <v>56</v>
      </c>
      <c r="E45" s="128"/>
      <c r="F45" s="55">
        <f>F41/(1-B1)</f>
        <v>14500.000000000002</v>
      </c>
    </row>
    <row r="46" spans="1:8" ht="15" customHeight="1" x14ac:dyDescent="0.25">
      <c r="A46" s="127" t="s">
        <v>57</v>
      </c>
      <c r="B46" s="127"/>
      <c r="C46" s="121">
        <f>C45*B1</f>
        <v>3496.1785714285716</v>
      </c>
      <c r="D46" s="128" t="s">
        <v>58</v>
      </c>
      <c r="E46" s="128"/>
      <c r="F46" s="122">
        <f>F45*B1</f>
        <v>4350</v>
      </c>
    </row>
    <row r="47" spans="1:8" ht="15" customHeight="1" x14ac:dyDescent="0.25">
      <c r="A47" s="127" t="s">
        <v>59</v>
      </c>
      <c r="B47" s="127"/>
      <c r="C47" s="56">
        <f>C46*12</f>
        <v>41954.142857142855</v>
      </c>
      <c r="F47" s="49"/>
    </row>
    <row r="48" spans="1:8" x14ac:dyDescent="0.25">
      <c r="A48" s="51"/>
      <c r="F48" s="49"/>
    </row>
    <row r="49" spans="1:6" x14ac:dyDescent="0.25">
      <c r="A49" s="51"/>
      <c r="F49" s="49"/>
    </row>
    <row r="50" spans="1:6" ht="15" customHeight="1" x14ac:dyDescent="0.25">
      <c r="A50" s="142" t="s">
        <v>60</v>
      </c>
      <c r="B50" s="142"/>
      <c r="C50" s="142"/>
      <c r="D50" s="142"/>
      <c r="E50" s="142"/>
      <c r="F50" s="142"/>
    </row>
    <row r="51" spans="1:6" ht="15" customHeight="1" x14ac:dyDescent="0.25">
      <c r="A51" s="143" t="s">
        <v>61</v>
      </c>
      <c r="B51" s="143"/>
      <c r="C51" s="143"/>
      <c r="D51" s="143"/>
      <c r="E51" s="143"/>
      <c r="F51" s="57">
        <f>C45*1.15</f>
        <v>13402.017857142857</v>
      </c>
    </row>
    <row r="52" spans="1:6" ht="15" customHeight="1" x14ac:dyDescent="0.25">
      <c r="A52" s="144" t="s">
        <v>62</v>
      </c>
      <c r="B52" s="144"/>
      <c r="C52" s="144"/>
      <c r="D52" s="144"/>
      <c r="E52" s="144"/>
      <c r="F52" s="57">
        <f>F45*1.15</f>
        <v>16675</v>
      </c>
    </row>
    <row r="53" spans="1:6" ht="23.25" customHeight="1" x14ac:dyDescent="0.25">
      <c r="A53" s="58"/>
      <c r="B53" s="59"/>
      <c r="C53" s="145" t="s">
        <v>63</v>
      </c>
      <c r="D53" s="145"/>
      <c r="E53" s="145"/>
      <c r="F53" s="60">
        <f>SUM(F51:F52)</f>
        <v>30077.017857142855</v>
      </c>
    </row>
    <row r="58" spans="1:6" ht="15" customHeight="1" x14ac:dyDescent="0.25">
      <c r="A58" s="146" t="s">
        <v>64</v>
      </c>
      <c r="B58" s="146"/>
      <c r="C58" s="146"/>
      <c r="D58" s="146"/>
      <c r="E58" s="146"/>
    </row>
    <row r="59" spans="1:6" ht="30.75" customHeight="1" x14ac:dyDescent="0.25">
      <c r="A59" s="61" t="s">
        <v>6</v>
      </c>
      <c r="B59" s="61" t="s">
        <v>65</v>
      </c>
      <c r="C59" s="61" t="s">
        <v>66</v>
      </c>
      <c r="D59" s="61" t="s">
        <v>67</v>
      </c>
      <c r="E59" s="61" t="s">
        <v>68</v>
      </c>
    </row>
    <row r="60" spans="1:6" ht="26.25" customHeight="1" x14ac:dyDescent="0.25">
      <c r="A60" s="32">
        <v>1</v>
      </c>
      <c r="B60" s="33" t="s">
        <v>69</v>
      </c>
      <c r="C60" s="62">
        <v>3000</v>
      </c>
      <c r="D60" s="62">
        <f>C60/(1-B1)</f>
        <v>4285.7142857142862</v>
      </c>
      <c r="E60" s="62">
        <f>D60*1.15</f>
        <v>4928.5714285714284</v>
      </c>
    </row>
    <row r="61" spans="1:6" ht="30.75" customHeight="1" x14ac:dyDescent="0.25">
      <c r="A61" s="37">
        <v>2</v>
      </c>
      <c r="B61" s="38" t="s">
        <v>70</v>
      </c>
      <c r="C61" s="63">
        <v>4000</v>
      </c>
      <c r="D61" s="63">
        <f>C61/(1-B1)</f>
        <v>5714.2857142857147</v>
      </c>
      <c r="E61" s="63">
        <f>D61*1.15</f>
        <v>6571.4285714285716</v>
      </c>
    </row>
    <row r="62" spans="1:6" ht="18" customHeight="1" x14ac:dyDescent="0.25">
      <c r="A62" s="147" t="s">
        <v>71</v>
      </c>
      <c r="B62" s="147"/>
      <c r="C62" s="147"/>
      <c r="D62" s="147"/>
      <c r="E62" s="64">
        <f>SUM(E60:E61)</f>
        <v>11500</v>
      </c>
    </row>
    <row r="66" spans="1:9" ht="15" customHeight="1" x14ac:dyDescent="0.25">
      <c r="A66" s="148" t="s">
        <v>72</v>
      </c>
      <c r="B66" s="148"/>
      <c r="C66" s="148"/>
      <c r="D66" s="148"/>
      <c r="E66" s="148"/>
      <c r="F66" s="148"/>
      <c r="G66" s="148"/>
    </row>
    <row r="67" spans="1:9" ht="15" customHeight="1" x14ac:dyDescent="0.25">
      <c r="A67" s="65" t="s">
        <v>73</v>
      </c>
      <c r="B67" s="65" t="s">
        <v>74</v>
      </c>
      <c r="C67" s="65" t="s">
        <v>75</v>
      </c>
      <c r="D67" s="65" t="s">
        <v>76</v>
      </c>
      <c r="E67" s="65" t="s">
        <v>77</v>
      </c>
      <c r="F67" s="65" t="s">
        <v>78</v>
      </c>
      <c r="G67" s="65" t="s">
        <v>79</v>
      </c>
    </row>
    <row r="68" spans="1:9" ht="108.75" customHeight="1" x14ac:dyDescent="0.25">
      <c r="A68" s="66">
        <v>1</v>
      </c>
      <c r="B68" s="66" t="s">
        <v>80</v>
      </c>
      <c r="C68" s="66" t="s">
        <v>81</v>
      </c>
      <c r="D68" s="66" t="s">
        <v>82</v>
      </c>
      <c r="E68" s="62">
        <v>1</v>
      </c>
      <c r="F68" s="126">
        <v>25080</v>
      </c>
      <c r="G68" s="126">
        <f>E68*F68</f>
        <v>25080</v>
      </c>
    </row>
    <row r="69" spans="1:9" ht="93" customHeight="1" x14ac:dyDescent="0.25">
      <c r="A69" s="67">
        <v>2</v>
      </c>
      <c r="B69" s="67" t="s">
        <v>83</v>
      </c>
      <c r="C69" s="67" t="s">
        <v>84</v>
      </c>
      <c r="D69" s="67" t="s">
        <v>85</v>
      </c>
      <c r="E69" s="62">
        <v>1</v>
      </c>
      <c r="F69" s="126">
        <v>3650</v>
      </c>
      <c r="G69" s="126">
        <f>E69*F69</f>
        <v>3650</v>
      </c>
    </row>
    <row r="70" spans="1:9" ht="78" customHeight="1" x14ac:dyDescent="0.25">
      <c r="A70" s="66">
        <v>3</v>
      </c>
      <c r="B70" s="66" t="s">
        <v>86</v>
      </c>
      <c r="C70" s="66" t="s">
        <v>87</v>
      </c>
      <c r="D70" s="66" t="s">
        <v>88</v>
      </c>
      <c r="E70" s="62">
        <v>1</v>
      </c>
      <c r="F70" s="126">
        <v>1150</v>
      </c>
      <c r="G70" s="126">
        <f>E70*F70</f>
        <v>1150</v>
      </c>
    </row>
    <row r="71" spans="1:9" ht="93" customHeight="1" x14ac:dyDescent="0.25">
      <c r="A71" s="67">
        <v>4</v>
      </c>
      <c r="B71" s="67" t="s">
        <v>89</v>
      </c>
      <c r="C71" s="67" t="s">
        <v>90</v>
      </c>
      <c r="D71" s="67" t="s">
        <v>91</v>
      </c>
      <c r="E71" s="62">
        <v>1</v>
      </c>
      <c r="F71" s="126">
        <v>3500</v>
      </c>
      <c r="G71" s="126">
        <f>E71*F71</f>
        <v>3500</v>
      </c>
    </row>
    <row r="72" spans="1:9" ht="33" customHeight="1" x14ac:dyDescent="0.25">
      <c r="A72" s="149" t="s">
        <v>92</v>
      </c>
      <c r="B72" s="149"/>
      <c r="C72" s="149"/>
      <c r="D72" s="149"/>
      <c r="E72" s="149"/>
      <c r="F72" s="149"/>
      <c r="G72" s="68">
        <f>SUM(G68:G71)</f>
        <v>33380</v>
      </c>
    </row>
    <row r="73" spans="1:9" ht="18" customHeight="1" x14ac:dyDescent="0.25">
      <c r="A73" s="140" t="s">
        <v>93</v>
      </c>
      <c r="B73" s="140"/>
      <c r="C73" s="140"/>
      <c r="D73" s="140"/>
      <c r="E73" s="140"/>
      <c r="F73" s="140"/>
      <c r="G73" s="64">
        <f>G72*1.15</f>
        <v>38387</v>
      </c>
    </row>
    <row r="76" spans="1:9" ht="7.5" customHeight="1" x14ac:dyDescent="0.25"/>
    <row r="77" spans="1:9" ht="27.75" customHeight="1" x14ac:dyDescent="0.25">
      <c r="A77" s="141" t="s">
        <v>99</v>
      </c>
      <c r="B77" s="141"/>
      <c r="C77" s="141"/>
      <c r="D77" s="141"/>
      <c r="E77" s="141"/>
      <c r="F77" s="141"/>
      <c r="G77" s="141"/>
      <c r="H77" s="141"/>
      <c r="I77" s="141"/>
    </row>
    <row r="78" spans="1:9" ht="21.75" customHeight="1" x14ac:dyDescent="0.25">
      <c r="A78" s="152" t="s">
        <v>100</v>
      </c>
      <c r="B78" s="152"/>
      <c r="C78" s="152"/>
      <c r="D78" s="152"/>
      <c r="E78" s="153" t="s">
        <v>101</v>
      </c>
      <c r="F78" s="153"/>
      <c r="G78" s="153" t="s">
        <v>102</v>
      </c>
      <c r="H78" s="153"/>
      <c r="I78" s="69"/>
    </row>
    <row r="79" spans="1:9" ht="21.75" customHeight="1" x14ac:dyDescent="0.25">
      <c r="A79" s="154" t="s">
        <v>103</v>
      </c>
      <c r="B79" s="154"/>
      <c r="C79" s="154"/>
      <c r="D79" s="154"/>
      <c r="E79" s="155">
        <f>F12</f>
        <v>427500</v>
      </c>
      <c r="F79" s="155"/>
      <c r="G79" s="155">
        <f>F12/12</f>
        <v>35625</v>
      </c>
      <c r="H79" s="155"/>
      <c r="I79" s="70"/>
    </row>
    <row r="80" spans="1:9" ht="21.75" customHeight="1" x14ac:dyDescent="0.25">
      <c r="A80" s="156" t="s">
        <v>104</v>
      </c>
      <c r="B80" s="156"/>
      <c r="C80" s="156"/>
      <c r="D80" s="156"/>
      <c r="E80" s="157">
        <f>G24</f>
        <v>61965</v>
      </c>
      <c r="F80" s="157"/>
      <c r="G80" s="157">
        <f>G24/12</f>
        <v>5163.75</v>
      </c>
      <c r="H80" s="157"/>
      <c r="I80" s="71"/>
    </row>
    <row r="81" spans="1:9" ht="21.75" customHeight="1" x14ac:dyDescent="0.25">
      <c r="A81" s="158" t="s">
        <v>105</v>
      </c>
      <c r="B81" s="158"/>
      <c r="C81" s="158"/>
      <c r="D81" s="158"/>
      <c r="E81" s="159">
        <f>C39</f>
        <v>489465</v>
      </c>
      <c r="F81" s="159"/>
      <c r="G81" s="159">
        <f>C39/12</f>
        <v>40788.75</v>
      </c>
      <c r="H81" s="159"/>
      <c r="I81" s="72"/>
    </row>
    <row r="82" spans="1:9" ht="21.75" customHeight="1" x14ac:dyDescent="0.25">
      <c r="A82" s="154" t="s">
        <v>96</v>
      </c>
      <c r="B82" s="154"/>
      <c r="C82" s="154"/>
      <c r="D82" s="154"/>
      <c r="E82" s="155">
        <f>H32</f>
        <v>121800</v>
      </c>
      <c r="F82" s="155"/>
      <c r="G82" s="155">
        <f>H32/12</f>
        <v>10150</v>
      </c>
      <c r="H82" s="155"/>
      <c r="I82" s="70"/>
    </row>
    <row r="83" spans="1:9" ht="21.75" customHeight="1" x14ac:dyDescent="0.25">
      <c r="A83" s="150" t="s">
        <v>106</v>
      </c>
      <c r="B83" s="150"/>
      <c r="C83" s="150"/>
      <c r="D83" s="150"/>
      <c r="E83" s="151">
        <f>C41</f>
        <v>97893</v>
      </c>
      <c r="F83" s="151"/>
      <c r="G83" s="151">
        <f>C42</f>
        <v>8157.75</v>
      </c>
      <c r="H83" s="151"/>
      <c r="I83" s="71"/>
    </row>
    <row r="84" spans="1:9" ht="12" customHeight="1" x14ac:dyDescent="0.25"/>
    <row r="85" spans="1:9" ht="25.5" customHeight="1" x14ac:dyDescent="0.25">
      <c r="A85" s="161" t="s">
        <v>107</v>
      </c>
      <c r="B85" s="161"/>
      <c r="C85" s="161"/>
      <c r="D85" s="161"/>
      <c r="E85" s="161"/>
      <c r="F85" s="161"/>
      <c r="G85" s="161"/>
      <c r="H85" s="161"/>
      <c r="I85" s="161"/>
    </row>
    <row r="86" spans="1:9" ht="21.75" customHeight="1" x14ac:dyDescent="0.25">
      <c r="A86" s="162" t="s">
        <v>108</v>
      </c>
      <c r="B86" s="162"/>
      <c r="C86" s="162"/>
      <c r="D86" s="162"/>
      <c r="E86" s="163" t="s">
        <v>109</v>
      </c>
      <c r="F86" s="163"/>
      <c r="G86" s="163" t="s">
        <v>110</v>
      </c>
      <c r="H86" s="163"/>
      <c r="I86" s="74"/>
    </row>
    <row r="87" spans="1:9" ht="21.75" customHeight="1" x14ac:dyDescent="0.25">
      <c r="A87" s="154" t="s">
        <v>111</v>
      </c>
      <c r="B87" s="154"/>
      <c r="C87" s="154"/>
      <c r="D87" s="154"/>
      <c r="E87" s="164">
        <f>C45</f>
        <v>11653.928571428572</v>
      </c>
      <c r="F87" s="164"/>
      <c r="G87" s="164">
        <f>F51</f>
        <v>13402.017857142857</v>
      </c>
      <c r="H87" s="164"/>
      <c r="I87" s="70"/>
    </row>
    <row r="88" spans="1:9" ht="21.75" customHeight="1" x14ac:dyDescent="0.25">
      <c r="A88" s="156" t="s">
        <v>112</v>
      </c>
      <c r="B88" s="156"/>
      <c r="C88" s="156"/>
      <c r="D88" s="156"/>
      <c r="E88" s="160">
        <f>F45</f>
        <v>14500.000000000002</v>
      </c>
      <c r="F88" s="160"/>
      <c r="G88" s="160">
        <f>F52</f>
        <v>16675</v>
      </c>
      <c r="H88" s="160"/>
      <c r="I88" s="71"/>
    </row>
    <row r="89" spans="1:9" ht="21.75" customHeight="1" x14ac:dyDescent="0.25">
      <c r="A89" s="165" t="s">
        <v>160</v>
      </c>
      <c r="B89" s="165"/>
      <c r="C89" s="165"/>
      <c r="D89" s="165"/>
      <c r="E89" s="166">
        <f>C45+F45</f>
        <v>26153.928571428572</v>
      </c>
      <c r="F89" s="166"/>
      <c r="G89" s="167">
        <f>F53</f>
        <v>30077.017857142855</v>
      </c>
      <c r="H89" s="167"/>
      <c r="I89" s="75"/>
    </row>
    <row r="90" spans="1:9" ht="21.75" customHeight="1" x14ac:dyDescent="0.25">
      <c r="A90" s="154" t="s">
        <v>113</v>
      </c>
      <c r="B90" s="154"/>
      <c r="C90" s="154"/>
      <c r="D90" s="154"/>
      <c r="E90" s="164">
        <f>E62/1.15</f>
        <v>10000</v>
      </c>
      <c r="F90" s="164"/>
      <c r="G90" s="164">
        <f>E62</f>
        <v>11500</v>
      </c>
      <c r="H90" s="164"/>
      <c r="I90" s="70"/>
    </row>
    <row r="91" spans="1:9" ht="21.75" customHeight="1" x14ac:dyDescent="0.25">
      <c r="A91" s="156" t="s">
        <v>114</v>
      </c>
      <c r="B91" s="156"/>
      <c r="C91" s="156"/>
      <c r="D91" s="156"/>
      <c r="E91" s="160">
        <f>G72</f>
        <v>33380</v>
      </c>
      <c r="F91" s="160"/>
      <c r="G91" s="160">
        <f>G73</f>
        <v>38387</v>
      </c>
      <c r="H91" s="160"/>
      <c r="I91" s="71"/>
    </row>
    <row r="92" spans="1:9" ht="15.75" customHeight="1" x14ac:dyDescent="0.25"/>
    <row r="93" spans="1:9" ht="21.75" customHeight="1" x14ac:dyDescent="0.25"/>
    <row r="94" spans="1:9" ht="19.5" customHeight="1" x14ac:dyDescent="0.25"/>
    <row r="95" spans="1:9" ht="19.5" customHeight="1" x14ac:dyDescent="0.25"/>
    <row r="96" spans="1:9" ht="19.5" customHeight="1" x14ac:dyDescent="0.25"/>
    <row r="98" spans="1:9" ht="27.75" customHeight="1" x14ac:dyDescent="0.25">
      <c r="A98" s="171" t="s">
        <v>115</v>
      </c>
      <c r="B98" s="171"/>
      <c r="C98" s="171"/>
      <c r="D98" s="171"/>
      <c r="E98" s="171"/>
      <c r="F98" s="171"/>
      <c r="G98" s="171"/>
      <c r="H98" s="171"/>
      <c r="I98" s="171"/>
    </row>
    <row r="99" spans="1:9" ht="24" customHeight="1" x14ac:dyDescent="0.25">
      <c r="A99" s="76" t="s">
        <v>73</v>
      </c>
      <c r="B99" s="172" t="s">
        <v>108</v>
      </c>
      <c r="C99" s="172"/>
      <c r="D99" s="76" t="s">
        <v>116</v>
      </c>
      <c r="E99" s="77" t="s">
        <v>117</v>
      </c>
      <c r="F99" s="77" t="s">
        <v>118</v>
      </c>
      <c r="G99" s="77" t="s">
        <v>119</v>
      </c>
      <c r="H99" s="77" t="s">
        <v>159</v>
      </c>
      <c r="I99" s="76" t="s">
        <v>120</v>
      </c>
    </row>
    <row r="100" spans="1:9" ht="25.5" customHeight="1" x14ac:dyDescent="0.25">
      <c r="A100" s="78" t="s">
        <v>121</v>
      </c>
      <c r="B100" s="168" t="s">
        <v>122</v>
      </c>
      <c r="C100" s="168"/>
      <c r="D100" s="79" t="s">
        <v>123</v>
      </c>
      <c r="E100" s="80">
        <f>C60</f>
        <v>3000</v>
      </c>
      <c r="F100" s="81">
        <f>D60</f>
        <v>4285.7142857142862</v>
      </c>
      <c r="G100" s="82">
        <f>D60*D1</f>
        <v>4928.5714285714284</v>
      </c>
      <c r="H100" s="83">
        <f>D60-C60</f>
        <v>1285.7142857142862</v>
      </c>
      <c r="I100" s="84">
        <f>(D60-C60)/D60</f>
        <v>0.3000000000000001</v>
      </c>
    </row>
    <row r="101" spans="1:9" ht="25.5" customHeight="1" x14ac:dyDescent="0.25">
      <c r="A101" s="85" t="s">
        <v>124</v>
      </c>
      <c r="B101" s="173" t="s">
        <v>70</v>
      </c>
      <c r="C101" s="173"/>
      <c r="D101" s="86" t="s">
        <v>123</v>
      </c>
      <c r="E101" s="87">
        <f>C61</f>
        <v>4000</v>
      </c>
      <c r="F101" s="88">
        <f>D61</f>
        <v>5714.2857142857147</v>
      </c>
      <c r="G101" s="73">
        <f>D61*D1</f>
        <v>6571.4285714285716</v>
      </c>
      <c r="H101" s="83">
        <f>D61-C61</f>
        <v>1714.2857142857147</v>
      </c>
      <c r="I101" s="84">
        <f>(D61-C61)/D61</f>
        <v>0.30000000000000004</v>
      </c>
    </row>
    <row r="102" spans="1:9" ht="25.5" customHeight="1" x14ac:dyDescent="0.25">
      <c r="A102" s="78" t="s">
        <v>125</v>
      </c>
      <c r="B102" s="168" t="s">
        <v>126</v>
      </c>
      <c r="C102" s="168"/>
      <c r="D102" s="79" t="s">
        <v>127</v>
      </c>
      <c r="E102" s="80">
        <f>G72/1.05</f>
        <v>31790.476190476191</v>
      </c>
      <c r="F102" s="81">
        <f>G72</f>
        <v>33380</v>
      </c>
      <c r="G102" s="82">
        <f>G73</f>
        <v>38387</v>
      </c>
      <c r="H102" s="83">
        <f>G72*0.05/1.05</f>
        <v>1589.5238095238094</v>
      </c>
      <c r="I102" s="84">
        <f>0.05/1.05</f>
        <v>4.7619047619047616E-2</v>
      </c>
    </row>
    <row r="103" spans="1:9" ht="25.5" customHeight="1" x14ac:dyDescent="0.25">
      <c r="A103" s="85" t="s">
        <v>128</v>
      </c>
      <c r="B103" s="173" t="s">
        <v>129</v>
      </c>
      <c r="C103" s="173"/>
      <c r="D103" s="89" t="s">
        <v>97</v>
      </c>
      <c r="E103" s="87">
        <f>C42</f>
        <v>8157.75</v>
      </c>
      <c r="F103" s="88">
        <f>C45</f>
        <v>11653.928571428572</v>
      </c>
      <c r="G103" s="73">
        <f>F51</f>
        <v>13402.017857142857</v>
      </c>
      <c r="H103" s="83">
        <f>C46</f>
        <v>3496.1785714285716</v>
      </c>
      <c r="I103" s="84">
        <f>B1</f>
        <v>0.3</v>
      </c>
    </row>
    <row r="104" spans="1:9" ht="25.5" customHeight="1" x14ac:dyDescent="0.25">
      <c r="A104" s="78" t="s">
        <v>130</v>
      </c>
      <c r="B104" s="168" t="s">
        <v>131</v>
      </c>
      <c r="C104" s="168"/>
      <c r="D104" s="90" t="s">
        <v>97</v>
      </c>
      <c r="E104" s="80">
        <f>H32/12</f>
        <v>10150</v>
      </c>
      <c r="F104" s="81">
        <f>F45</f>
        <v>14500.000000000002</v>
      </c>
      <c r="G104" s="82">
        <f>F52</f>
        <v>16675</v>
      </c>
      <c r="H104" s="83">
        <f>F46</f>
        <v>4350</v>
      </c>
      <c r="I104" s="84">
        <f>B1</f>
        <v>0.3</v>
      </c>
    </row>
    <row r="105" spans="1:9" ht="36" customHeight="1" x14ac:dyDescent="0.25">
      <c r="A105" s="141" t="s">
        <v>132</v>
      </c>
      <c r="B105" s="141"/>
      <c r="C105" s="141"/>
      <c r="D105" s="141"/>
      <c r="E105" s="141"/>
      <c r="F105" s="91">
        <f>D60*D1+D61*D1+G73+F51+F52</f>
        <v>79964.017857142855</v>
      </c>
      <c r="G105" s="92">
        <f>SUM(G100:G104)</f>
        <v>79964.017857142855</v>
      </c>
      <c r="H105" s="93">
        <f>(D60-C60)+(D61-C61)+G72*0.05/1.05+C46+F46</f>
        <v>12435.702380952382</v>
      </c>
      <c r="I105" s="94" t="s">
        <v>95</v>
      </c>
    </row>
    <row r="107" spans="1:9" ht="27.75" customHeight="1" x14ac:dyDescent="0.25">
      <c r="A107" s="169" t="s">
        <v>133</v>
      </c>
      <c r="B107" s="169"/>
      <c r="C107" s="169"/>
      <c r="D107" s="169"/>
      <c r="E107" s="169"/>
      <c r="F107" s="169"/>
      <c r="G107" s="169"/>
      <c r="H107" s="169"/>
      <c r="I107" s="169"/>
    </row>
    <row r="108" spans="1:9" ht="24" customHeight="1" x14ac:dyDescent="0.25">
      <c r="A108" s="95" t="s">
        <v>73</v>
      </c>
      <c r="B108" s="170" t="s">
        <v>75</v>
      </c>
      <c r="C108" s="170"/>
      <c r="D108" s="95" t="s">
        <v>116</v>
      </c>
      <c r="E108" s="96" t="s">
        <v>134</v>
      </c>
      <c r="F108" s="96" t="s">
        <v>135</v>
      </c>
      <c r="G108" s="96" t="s">
        <v>136</v>
      </c>
      <c r="H108" s="95" t="s">
        <v>95</v>
      </c>
      <c r="I108" s="95" t="s">
        <v>67</v>
      </c>
    </row>
    <row r="109" spans="1:9" ht="24" customHeight="1" x14ac:dyDescent="0.25">
      <c r="A109" s="97" t="s">
        <v>121</v>
      </c>
      <c r="B109" s="154" t="s">
        <v>137</v>
      </c>
      <c r="C109" s="154"/>
      <c r="D109" s="98" t="s">
        <v>138</v>
      </c>
      <c r="E109" s="99">
        <f>C42</f>
        <v>8157.75</v>
      </c>
      <c r="F109" s="100">
        <f>C45</f>
        <v>11653.928571428572</v>
      </c>
      <c r="G109" s="101">
        <f>F51</f>
        <v>13402.017857142857</v>
      </c>
      <c r="H109" s="83">
        <f>C46</f>
        <v>3496.1785714285716</v>
      </c>
      <c r="I109" s="84">
        <f>B1</f>
        <v>0.3</v>
      </c>
    </row>
    <row r="110" spans="1:9" ht="24" customHeight="1" x14ac:dyDescent="0.25">
      <c r="A110" s="85" t="s">
        <v>124</v>
      </c>
      <c r="B110" s="156" t="s">
        <v>139</v>
      </c>
      <c r="C110" s="156"/>
      <c r="D110" s="89" t="s">
        <v>138</v>
      </c>
      <c r="E110" s="87">
        <f>H32/12</f>
        <v>10150</v>
      </c>
      <c r="F110" s="88">
        <f>F45</f>
        <v>14500.000000000002</v>
      </c>
      <c r="G110" s="73">
        <f>F52</f>
        <v>16675</v>
      </c>
      <c r="H110" s="83">
        <f>F46</f>
        <v>4350</v>
      </c>
      <c r="I110" s="84">
        <f>B1</f>
        <v>0.3</v>
      </c>
    </row>
    <row r="111" spans="1:9" ht="36" customHeight="1" x14ac:dyDescent="0.25">
      <c r="A111" s="161" t="s">
        <v>140</v>
      </c>
      <c r="B111" s="161"/>
      <c r="C111" s="161"/>
      <c r="D111" s="161"/>
      <c r="E111" s="161"/>
      <c r="F111" s="102">
        <f>C45+F45</f>
        <v>26153.928571428572</v>
      </c>
      <c r="G111" s="103">
        <f>F53</f>
        <v>30077.017857142855</v>
      </c>
      <c r="H111" s="93">
        <f>C46+F46</f>
        <v>7846.1785714285716</v>
      </c>
      <c r="I111" s="94" t="s">
        <v>95</v>
      </c>
    </row>
    <row r="113" spans="1:7" ht="27.75" customHeight="1" x14ac:dyDescent="0.25">
      <c r="A113" s="177" t="s">
        <v>141</v>
      </c>
      <c r="B113" s="177"/>
      <c r="C113" s="177"/>
      <c r="D113" s="177"/>
      <c r="E113" s="177"/>
      <c r="F113" s="177"/>
      <c r="G113" s="177"/>
    </row>
    <row r="114" spans="1:7" ht="24" customHeight="1" x14ac:dyDescent="0.25">
      <c r="A114" s="104" t="s">
        <v>142</v>
      </c>
      <c r="B114" s="104" t="s">
        <v>143</v>
      </c>
      <c r="C114" s="174" t="s">
        <v>144</v>
      </c>
      <c r="D114" s="174"/>
      <c r="E114" s="104" t="s">
        <v>94</v>
      </c>
      <c r="F114" s="104" t="s">
        <v>158</v>
      </c>
      <c r="G114" s="104" t="s">
        <v>98</v>
      </c>
    </row>
    <row r="115" spans="1:7" ht="21.75" customHeight="1" x14ac:dyDescent="0.25">
      <c r="A115" s="105">
        <v>1</v>
      </c>
      <c r="B115" s="106" t="s">
        <v>97</v>
      </c>
      <c r="C115" s="175" t="s">
        <v>145</v>
      </c>
      <c r="D115" s="175"/>
      <c r="E115" s="107">
        <f>G105</f>
        <v>79964.017857142855</v>
      </c>
      <c r="F115" s="108">
        <f>H105</f>
        <v>12435.702380952382</v>
      </c>
      <c r="G115" s="109">
        <f>E115</f>
        <v>79964.017857142855</v>
      </c>
    </row>
    <row r="116" spans="1:7" ht="21.75" customHeight="1" x14ac:dyDescent="0.25">
      <c r="A116" s="110">
        <v>2</v>
      </c>
      <c r="B116" s="111" t="s">
        <v>146</v>
      </c>
      <c r="C116" s="179" t="s">
        <v>147</v>
      </c>
      <c r="D116" s="179"/>
      <c r="E116" s="112">
        <f>G111</f>
        <v>30077.017857142855</v>
      </c>
      <c r="F116" s="113">
        <f>H111</f>
        <v>7846.1785714285716</v>
      </c>
      <c r="G116" s="112">
        <f t="shared" ref="G116:G126" si="3">G115+E116</f>
        <v>110041.03571428571</v>
      </c>
    </row>
    <row r="117" spans="1:7" ht="21.75" customHeight="1" x14ac:dyDescent="0.25">
      <c r="A117" s="110">
        <v>3</v>
      </c>
      <c r="B117" s="114" t="s">
        <v>148</v>
      </c>
      <c r="C117" s="178" t="s">
        <v>147</v>
      </c>
      <c r="D117" s="178"/>
      <c r="E117" s="115">
        <f>G111</f>
        <v>30077.017857142855</v>
      </c>
      <c r="F117" s="113">
        <f>H111</f>
        <v>7846.1785714285716</v>
      </c>
      <c r="G117" s="115">
        <f t="shared" si="3"/>
        <v>140118.05357142858</v>
      </c>
    </row>
    <row r="118" spans="1:7" ht="21.75" customHeight="1" x14ac:dyDescent="0.25">
      <c r="A118" s="110">
        <v>4</v>
      </c>
      <c r="B118" s="111" t="s">
        <v>149</v>
      </c>
      <c r="C118" s="179" t="s">
        <v>147</v>
      </c>
      <c r="D118" s="179"/>
      <c r="E118" s="112">
        <f>G111</f>
        <v>30077.017857142855</v>
      </c>
      <c r="F118" s="113">
        <f>H111</f>
        <v>7846.1785714285716</v>
      </c>
      <c r="G118" s="112">
        <f t="shared" si="3"/>
        <v>170195.07142857142</v>
      </c>
    </row>
    <row r="119" spans="1:7" ht="21.75" customHeight="1" x14ac:dyDescent="0.25">
      <c r="A119" s="110">
        <v>5</v>
      </c>
      <c r="B119" s="114" t="s">
        <v>150</v>
      </c>
      <c r="C119" s="178" t="s">
        <v>147</v>
      </c>
      <c r="D119" s="178"/>
      <c r="E119" s="115">
        <f>G111</f>
        <v>30077.017857142855</v>
      </c>
      <c r="F119" s="113">
        <f>H111</f>
        <v>7846.1785714285716</v>
      </c>
      <c r="G119" s="115">
        <f t="shared" si="3"/>
        <v>200272.08928571426</v>
      </c>
    </row>
    <row r="120" spans="1:7" ht="21.75" customHeight="1" x14ac:dyDescent="0.25">
      <c r="A120" s="110">
        <v>6</v>
      </c>
      <c r="B120" s="111" t="s">
        <v>151</v>
      </c>
      <c r="C120" s="179" t="s">
        <v>147</v>
      </c>
      <c r="D120" s="179"/>
      <c r="E120" s="112">
        <f>G111</f>
        <v>30077.017857142855</v>
      </c>
      <c r="F120" s="113">
        <f>H111</f>
        <v>7846.1785714285716</v>
      </c>
      <c r="G120" s="112">
        <f t="shared" si="3"/>
        <v>230349.1071428571</v>
      </c>
    </row>
    <row r="121" spans="1:7" ht="21.75" customHeight="1" x14ac:dyDescent="0.25">
      <c r="A121" s="110">
        <v>7</v>
      </c>
      <c r="B121" s="114" t="s">
        <v>152</v>
      </c>
      <c r="C121" s="178" t="s">
        <v>147</v>
      </c>
      <c r="D121" s="178"/>
      <c r="E121" s="115">
        <f>G111</f>
        <v>30077.017857142855</v>
      </c>
      <c r="F121" s="113">
        <f>H111</f>
        <v>7846.1785714285716</v>
      </c>
      <c r="G121" s="115">
        <f t="shared" si="3"/>
        <v>260426.12499999994</v>
      </c>
    </row>
    <row r="122" spans="1:7" ht="21.75" customHeight="1" x14ac:dyDescent="0.25">
      <c r="A122" s="110">
        <v>8</v>
      </c>
      <c r="B122" s="111" t="s">
        <v>153</v>
      </c>
      <c r="C122" s="179" t="s">
        <v>147</v>
      </c>
      <c r="D122" s="179"/>
      <c r="E122" s="112">
        <f>G111</f>
        <v>30077.017857142855</v>
      </c>
      <c r="F122" s="113">
        <f>H111</f>
        <v>7846.1785714285716</v>
      </c>
      <c r="G122" s="112">
        <f t="shared" si="3"/>
        <v>290503.14285714278</v>
      </c>
    </row>
    <row r="123" spans="1:7" ht="21.75" customHeight="1" x14ac:dyDescent="0.25">
      <c r="A123" s="110">
        <v>9</v>
      </c>
      <c r="B123" s="114" t="s">
        <v>154</v>
      </c>
      <c r="C123" s="178" t="s">
        <v>147</v>
      </c>
      <c r="D123" s="178"/>
      <c r="E123" s="115">
        <f>G111</f>
        <v>30077.017857142855</v>
      </c>
      <c r="F123" s="113">
        <f>H111</f>
        <v>7846.1785714285716</v>
      </c>
      <c r="G123" s="115">
        <f t="shared" si="3"/>
        <v>320580.16071428562</v>
      </c>
    </row>
    <row r="124" spans="1:7" ht="21.75" customHeight="1" x14ac:dyDescent="0.25">
      <c r="A124" s="110">
        <v>10</v>
      </c>
      <c r="B124" s="111" t="s">
        <v>155</v>
      </c>
      <c r="C124" s="179" t="s">
        <v>147</v>
      </c>
      <c r="D124" s="179"/>
      <c r="E124" s="112">
        <f>G111</f>
        <v>30077.017857142855</v>
      </c>
      <c r="F124" s="113">
        <f>H111</f>
        <v>7846.1785714285716</v>
      </c>
      <c r="G124" s="112">
        <f t="shared" si="3"/>
        <v>350657.17857142846</v>
      </c>
    </row>
    <row r="125" spans="1:7" ht="21.75" customHeight="1" x14ac:dyDescent="0.25">
      <c r="A125" s="110">
        <v>11</v>
      </c>
      <c r="B125" s="114" t="s">
        <v>156</v>
      </c>
      <c r="C125" s="178" t="s">
        <v>147</v>
      </c>
      <c r="D125" s="178"/>
      <c r="E125" s="115">
        <f>G111</f>
        <v>30077.017857142855</v>
      </c>
      <c r="F125" s="113">
        <f>H111</f>
        <v>7846.1785714285716</v>
      </c>
      <c r="G125" s="115">
        <f t="shared" si="3"/>
        <v>380734.1964285713</v>
      </c>
    </row>
    <row r="126" spans="1:7" ht="21.75" customHeight="1" x14ac:dyDescent="0.25">
      <c r="A126" s="116">
        <v>12</v>
      </c>
      <c r="B126" s="117" t="s">
        <v>157</v>
      </c>
      <c r="C126" s="179" t="s">
        <v>147</v>
      </c>
      <c r="D126" s="179"/>
      <c r="E126" s="112">
        <f>G111</f>
        <v>30077.017857142855</v>
      </c>
      <c r="F126" s="108">
        <f>H111</f>
        <v>7846.1785714285716</v>
      </c>
      <c r="G126" s="108">
        <f t="shared" si="3"/>
        <v>410811.21428571414</v>
      </c>
    </row>
    <row r="127" spans="1:7" ht="39.75" customHeight="1" x14ac:dyDescent="0.25">
      <c r="A127" s="180" t="s">
        <v>162</v>
      </c>
      <c r="B127" s="180"/>
      <c r="C127" s="180"/>
      <c r="D127" s="180"/>
      <c r="E127" s="118">
        <f>G105+G111*11</f>
        <v>410811.21428571426</v>
      </c>
      <c r="F127" s="119">
        <f>H105+H111*11</f>
        <v>98743.666666666672</v>
      </c>
      <c r="G127" s="120">
        <f>G126</f>
        <v>410811.21428571414</v>
      </c>
    </row>
    <row r="129" spans="1:9" ht="18" customHeight="1" x14ac:dyDescent="0.25">
      <c r="A129" s="176"/>
      <c r="B129" s="176"/>
      <c r="C129" s="176"/>
      <c r="D129" s="176"/>
      <c r="E129" s="176"/>
      <c r="F129" s="176"/>
      <c r="G129" s="176"/>
      <c r="H129" s="176"/>
      <c r="I129" s="176"/>
    </row>
  </sheetData>
  <mergeCells count="95">
    <mergeCell ref="A129:I129"/>
    <mergeCell ref="A113:G113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A127:D127"/>
    <mergeCell ref="C116:D116"/>
    <mergeCell ref="C117:D117"/>
    <mergeCell ref="C118:D118"/>
    <mergeCell ref="B109:C109"/>
    <mergeCell ref="B110:C110"/>
    <mergeCell ref="A111:E111"/>
    <mergeCell ref="C114:D114"/>
    <mergeCell ref="C115:D115"/>
    <mergeCell ref="B104:C104"/>
    <mergeCell ref="A105:E105"/>
    <mergeCell ref="A107:I107"/>
    <mergeCell ref="B108:C108"/>
    <mergeCell ref="A98:I98"/>
    <mergeCell ref="B99:C99"/>
    <mergeCell ref="B100:C100"/>
    <mergeCell ref="B101:C101"/>
    <mergeCell ref="B102:C102"/>
    <mergeCell ref="B103:C103"/>
    <mergeCell ref="E89:F89"/>
    <mergeCell ref="G89:H89"/>
    <mergeCell ref="A90:D90"/>
    <mergeCell ref="E90:F90"/>
    <mergeCell ref="G90:H90"/>
    <mergeCell ref="E82:F82"/>
    <mergeCell ref="G82:H82"/>
    <mergeCell ref="A91:D91"/>
    <mergeCell ref="E91:F91"/>
    <mergeCell ref="G91:H91"/>
    <mergeCell ref="A85:I85"/>
    <mergeCell ref="A86:D86"/>
    <mergeCell ref="E86:F86"/>
    <mergeCell ref="G86:H86"/>
    <mergeCell ref="A87:D87"/>
    <mergeCell ref="E87:F87"/>
    <mergeCell ref="G87:H87"/>
    <mergeCell ref="A88:D88"/>
    <mergeCell ref="E88:F88"/>
    <mergeCell ref="G88:H88"/>
    <mergeCell ref="A89:D89"/>
    <mergeCell ref="A83:D83"/>
    <mergeCell ref="E83:F83"/>
    <mergeCell ref="G83:H83"/>
    <mergeCell ref="A78:D78"/>
    <mergeCell ref="E78:F78"/>
    <mergeCell ref="G78:H78"/>
    <mergeCell ref="A79:D79"/>
    <mergeCell ref="E79:F79"/>
    <mergeCell ref="G79:H79"/>
    <mergeCell ref="A80:D80"/>
    <mergeCell ref="E80:F80"/>
    <mergeCell ref="G80:H80"/>
    <mergeCell ref="A81:D81"/>
    <mergeCell ref="E81:F81"/>
    <mergeCell ref="G81:H81"/>
    <mergeCell ref="A82:D82"/>
    <mergeCell ref="D41:E41"/>
    <mergeCell ref="A42:B42"/>
    <mergeCell ref="A73:F73"/>
    <mergeCell ref="A77:I77"/>
    <mergeCell ref="A47:B47"/>
    <mergeCell ref="A50:F50"/>
    <mergeCell ref="A51:E51"/>
    <mergeCell ref="A52:E52"/>
    <mergeCell ref="C53:E53"/>
    <mergeCell ref="A58:E58"/>
    <mergeCell ref="A62:D62"/>
    <mergeCell ref="A66:G66"/>
    <mergeCell ref="A72:F72"/>
    <mergeCell ref="A45:B45"/>
    <mergeCell ref="D45:E45"/>
    <mergeCell ref="A46:B46"/>
    <mergeCell ref="D46:E46"/>
    <mergeCell ref="G1:I1"/>
    <mergeCell ref="A3:C3"/>
    <mergeCell ref="A12:E12"/>
    <mergeCell ref="A14:C14"/>
    <mergeCell ref="A24:F24"/>
    <mergeCell ref="A27:H27"/>
    <mergeCell ref="A32:G32"/>
    <mergeCell ref="A36:F36"/>
    <mergeCell ref="A37:B37"/>
    <mergeCell ref="A38:B38"/>
    <mergeCell ref="A39:B39"/>
    <mergeCell ref="A41:B4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Atif Ahsan</dc:creator>
  <dc:description/>
  <cp:lastModifiedBy>Areeb Shafqat</cp:lastModifiedBy>
  <cp:revision>0</cp:revision>
  <dcterms:created xsi:type="dcterms:W3CDTF">2026-04-18T16:08:35Z</dcterms:created>
  <dcterms:modified xsi:type="dcterms:W3CDTF">2026-04-19T08:17:53Z</dcterms:modified>
  <dc:language>en-US</dc:language>
</cp:coreProperties>
</file>